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해외법인_2026" sheetId="1" state="visible" r:id="rId3"/>
    <sheet name="🌍 지역별_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<sst xmlns="http://schemas.openxmlformats.org/spreadsheetml/2006/main" count="880" uniqueCount="369">
  <si>
    <r>
      <rPr>
        <b val="true"/>
        <sz val="22"/>
        <color rgb="FFFFFFFF"/>
        <rFont val="맑은 고딕"/>
        <family val="0"/>
        <charset val="1"/>
      </rPr>
      <t xml:space="preserve">👑 GLOBAL SUBSIDIARIES — </t>
    </r>
    <r>
      <rPr>
        <b val="true"/>
        <sz val="22"/>
        <color rgb="FFFFFFFF"/>
        <rFont val="DejaVu Sans"/>
        <family val="2"/>
      </rPr>
      <t xml:space="preserve">분기실적 보고서 </t>
    </r>
    <r>
      <rPr>
        <b val="true"/>
        <sz val="22"/>
        <color rgb="FFFFFFFF"/>
        <rFont val="맑은 고딕"/>
        <family val="0"/>
        <charset val="1"/>
      </rPr>
      <t xml:space="preserve">(2026)</t>
    </r>
  </si>
  <si>
    <t xml:space="preserve">★ Worldwide Operations Quarterly Performance — Steel · Mobility · Energy · Resources · Food · Bio ★</t>
  </si>
  <si>
    <t xml:space="preserve">기본 정보</t>
  </si>
  <si>
    <r>
      <rPr>
        <b val="true"/>
        <sz val="11"/>
        <color rgb="FFFFFFFF"/>
        <rFont val="DejaVu Sans"/>
        <family val="2"/>
      </rPr>
      <t xml:space="preserve">📈 매출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백만원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</si>
  <si>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💰 영업이익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백만원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</si>
  <si>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📌 추가</t>
  </si>
  <si>
    <t xml:space="preserve">법인코드</t>
  </si>
  <si>
    <t xml:space="preserve">법인명</t>
  </si>
  <si>
    <t xml:space="preserve">국가</t>
  </si>
  <si>
    <t xml:space="preserve">지역</t>
  </si>
  <si>
    <t xml:space="preserve">사업부문</t>
  </si>
  <si>
    <r>
      <rPr>
        <b val="true"/>
        <sz val="10"/>
        <color rgb="FFFFFFFF"/>
        <rFont val="DejaVu Sans"/>
        <family val="2"/>
      </rPr>
      <t xml:space="preserve">지분율</t>
    </r>
    <r>
      <rPr>
        <b val="true"/>
        <sz val="10"/>
        <color rgb="FFFFFFFF"/>
        <rFont val="맑은 고딕"/>
        <family val="0"/>
        <charset val="1"/>
      </rPr>
      <t xml:space="preserve">(%)</t>
    </r>
  </si>
  <si>
    <t xml:space="preserve">임직원수</t>
  </si>
  <si>
    <r>
      <rPr>
        <b val="true"/>
        <sz val="10"/>
        <color rgb="FFFFFFFF"/>
        <rFont val="맑은 고딕"/>
        <family val="0"/>
        <charset val="1"/>
      </rPr>
      <t xml:space="preserve">Q1</t>
    </r>
    <r>
      <rPr>
        <b val="true"/>
        <sz val="10"/>
        <color rgb="FFFFFFFF"/>
        <rFont val="DejaVu Sans"/>
        <family val="2"/>
      </rPr>
      <t xml:space="preserve">매출</t>
    </r>
  </si>
  <si>
    <r>
      <rPr>
        <b val="true"/>
        <sz val="10"/>
        <color rgb="FFFFFFFF"/>
        <rFont val="맑은 고딕"/>
        <family val="0"/>
        <charset val="1"/>
      </rPr>
      <t xml:space="preserve">Q2</t>
    </r>
    <r>
      <rPr>
        <b val="true"/>
        <sz val="10"/>
        <color rgb="FFFFFFFF"/>
        <rFont val="DejaVu Sans"/>
        <family val="2"/>
      </rPr>
      <t xml:space="preserve">매출</t>
    </r>
  </si>
  <si>
    <r>
      <rPr>
        <b val="true"/>
        <sz val="10"/>
        <color rgb="FFFFFFFF"/>
        <rFont val="맑은 고딕"/>
        <family val="0"/>
        <charset val="1"/>
      </rPr>
      <t xml:space="preserve">Q3</t>
    </r>
    <r>
      <rPr>
        <b val="true"/>
        <sz val="10"/>
        <color rgb="FFFFFFFF"/>
        <rFont val="DejaVu Sans"/>
        <family val="2"/>
      </rPr>
      <t xml:space="preserve">매출</t>
    </r>
  </si>
  <si>
    <r>
      <rPr>
        <b val="true"/>
        <sz val="10"/>
        <color rgb="FFFFFFFF"/>
        <rFont val="맑은 고딕"/>
        <family val="0"/>
        <charset val="1"/>
      </rPr>
      <t xml:space="preserve">Q4</t>
    </r>
    <r>
      <rPr>
        <b val="true"/>
        <sz val="10"/>
        <color rgb="FFFFFFFF"/>
        <rFont val="DejaVu Sans"/>
        <family val="2"/>
      </rPr>
      <t xml:space="preserve">매출</t>
    </r>
  </si>
  <si>
    <t xml:space="preserve">연매출</t>
  </si>
  <si>
    <r>
      <rPr>
        <b val="true"/>
        <sz val="10"/>
        <color rgb="FFFFFFFF"/>
        <rFont val="맑은 고딕"/>
        <family val="0"/>
        <charset val="1"/>
      </rPr>
      <t xml:space="preserve">Q1</t>
    </r>
    <r>
      <rPr>
        <b val="true"/>
        <sz val="10"/>
        <color rgb="FFFFFFFF"/>
        <rFont val="DejaVu Sans"/>
        <family val="2"/>
      </rPr>
      <t xml:space="preserve">영업이익</t>
    </r>
  </si>
  <si>
    <r>
      <rPr>
        <b val="true"/>
        <sz val="10"/>
        <color rgb="FFFFFFFF"/>
        <rFont val="맑은 고딕"/>
        <family val="0"/>
        <charset val="1"/>
      </rPr>
      <t xml:space="preserve">Q2</t>
    </r>
    <r>
      <rPr>
        <b val="true"/>
        <sz val="10"/>
        <color rgb="FFFFFFFF"/>
        <rFont val="DejaVu Sans"/>
        <family val="2"/>
      </rPr>
      <t xml:space="preserve">영업이익</t>
    </r>
  </si>
  <si>
    <r>
      <rPr>
        <b val="true"/>
        <sz val="10"/>
        <color rgb="FFFFFFFF"/>
        <rFont val="맑은 고딕"/>
        <family val="0"/>
        <charset val="1"/>
      </rPr>
      <t xml:space="preserve">Q3</t>
    </r>
    <r>
      <rPr>
        <b val="true"/>
        <sz val="10"/>
        <color rgb="FFFFFFFF"/>
        <rFont val="DejaVu Sans"/>
        <family val="2"/>
      </rPr>
      <t xml:space="preserve">영업이익</t>
    </r>
  </si>
  <si>
    <r>
      <rPr>
        <b val="true"/>
        <sz val="10"/>
        <color rgb="FFFFFFFF"/>
        <rFont val="맑은 고딕"/>
        <family val="0"/>
        <charset val="1"/>
      </rPr>
      <t xml:space="preserve">Q4</t>
    </r>
    <r>
      <rPr>
        <b val="true"/>
        <sz val="10"/>
        <color rgb="FFFFFFFF"/>
        <rFont val="DejaVu Sans"/>
        <family val="2"/>
      </rPr>
      <t xml:space="preserve">영업이익</t>
    </r>
  </si>
  <si>
    <t xml:space="preserve">연영업이익</t>
  </si>
  <si>
    <t xml:space="preserve">주요제품</t>
  </si>
  <si>
    <t xml:space="preserve">투자등급</t>
  </si>
  <si>
    <t xml:space="preserve">PI-DE-01</t>
  </si>
  <si>
    <t xml:space="preserve">POSCO INTL DEUTSCHLAND GmbH</t>
  </si>
  <si>
    <t xml:space="preserve">독일</t>
  </si>
  <si>
    <t xml:space="preserve">유럽</t>
  </si>
  <si>
    <t xml:space="preserve">철강트레이딩</t>
  </si>
  <si>
    <r>
      <rPr>
        <i val="true"/>
        <sz val="8"/>
        <color rgb="FF424242"/>
        <rFont val="맑은 고딕"/>
        <family val="0"/>
        <charset val="1"/>
      </rPr>
      <t xml:space="preserve">STS/</t>
    </r>
    <r>
      <rPr>
        <i val="true"/>
        <sz val="8"/>
        <color rgb="FF424242"/>
        <rFont val="DejaVu Sans"/>
        <family val="2"/>
      </rPr>
      <t xml:space="preserve">도금</t>
    </r>
  </si>
  <si>
    <t xml:space="preserve">A</t>
  </si>
  <si>
    <t xml:space="preserve">PI-IT-02</t>
  </si>
  <si>
    <t xml:space="preserve">POSCO INTL ITALIA S.R.L</t>
  </si>
  <si>
    <t xml:space="preserve">이탈리아</t>
  </si>
  <si>
    <r>
      <rPr>
        <i val="true"/>
        <sz val="8"/>
        <color rgb="FF424242"/>
        <rFont val="DejaVu Sans"/>
        <family val="2"/>
      </rPr>
      <t xml:space="preserve">냉연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도금강판</t>
    </r>
  </si>
  <si>
    <t xml:space="preserve">PI-JP-03</t>
  </si>
  <si>
    <t xml:space="preserve">POSCO INTL JAPAN CORP</t>
  </si>
  <si>
    <t xml:space="preserve">일본</t>
  </si>
  <si>
    <t xml:space="preserve">아시아</t>
  </si>
  <si>
    <t xml:space="preserve">PI-US-04</t>
  </si>
  <si>
    <t xml:space="preserve">POSCO INTL AMERICA CORP</t>
  </si>
  <si>
    <t xml:space="preserve">미국</t>
  </si>
  <si>
    <t xml:space="preserve">북미</t>
  </si>
  <si>
    <r>
      <rPr>
        <i val="true"/>
        <sz val="8"/>
        <color rgb="FF424242"/>
        <rFont val="DejaVu Sans"/>
        <family val="2"/>
      </rPr>
      <t xml:space="preserve">자동차강판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에너지강재</t>
    </r>
  </si>
  <si>
    <t xml:space="preserve">A+</t>
  </si>
  <si>
    <t xml:space="preserve">PI-MX-05</t>
  </si>
  <si>
    <t xml:space="preserve">POSCO INTL MEXICO S.A. de C.V</t>
  </si>
  <si>
    <t xml:space="preserve">멕시코</t>
  </si>
  <si>
    <t xml:space="preserve">중남미</t>
  </si>
  <si>
    <t xml:space="preserve">PI-SG-06</t>
  </si>
  <si>
    <t xml:space="preserve">POSCO INTL SINGAPORE PTE</t>
  </si>
  <si>
    <t xml:space="preserve">싱가포르</t>
  </si>
  <si>
    <r>
      <rPr>
        <i val="true"/>
        <sz val="8"/>
        <color rgb="FF424242"/>
        <rFont val="DejaVu Sans"/>
        <family val="2"/>
      </rPr>
      <t xml:space="preserve">전기강판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자동차</t>
    </r>
  </si>
  <si>
    <t xml:space="preserve">PI-CN-07</t>
  </si>
  <si>
    <t xml:space="preserve">POSCO INTL (SHANGHAI) CO</t>
  </si>
  <si>
    <t xml:space="preserve">중국</t>
  </si>
  <si>
    <r>
      <rPr>
        <i val="true"/>
        <sz val="8"/>
        <color rgb="FF424242"/>
        <rFont val="DejaVu Sans"/>
        <family val="2"/>
      </rPr>
      <t xml:space="preserve">열연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냉연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후판</t>
    </r>
  </si>
  <si>
    <t xml:space="preserve">PI-VN-08</t>
  </si>
  <si>
    <t xml:space="preserve">POSCO INTL VIETNAM CO</t>
  </si>
  <si>
    <t xml:space="preserve">베트남</t>
  </si>
  <si>
    <t xml:space="preserve">PI-TH-09</t>
  </si>
  <si>
    <t xml:space="preserve">POSCO INTL THAILAND LTD</t>
  </si>
  <si>
    <t xml:space="preserve">태국</t>
  </si>
  <si>
    <t xml:space="preserve">PI-IN-01</t>
  </si>
  <si>
    <t xml:space="preserve">POSCO INTL INDIA PVT LTD</t>
  </si>
  <si>
    <t xml:space="preserve">인도</t>
  </si>
  <si>
    <t xml:space="preserve">PI-AE-02</t>
  </si>
  <si>
    <t xml:space="preserve">POSCO INTL UAE LLC</t>
  </si>
  <si>
    <t xml:space="preserve">아랍에미리트</t>
  </si>
  <si>
    <t xml:space="preserve">중동</t>
  </si>
  <si>
    <t xml:space="preserve">PI-TR-03</t>
  </si>
  <si>
    <t xml:space="preserve">POSCO INTL TURKEY</t>
  </si>
  <si>
    <t xml:space="preserve">튀르키예</t>
  </si>
  <si>
    <t xml:space="preserve">PI-BR-04</t>
  </si>
  <si>
    <t xml:space="preserve">POSCO INTL BRAZIL</t>
  </si>
  <si>
    <t xml:space="preserve">브라질</t>
  </si>
  <si>
    <r>
      <rPr>
        <i val="true"/>
        <sz val="8"/>
        <color rgb="FF424242"/>
        <rFont val="DejaVu Sans"/>
        <family val="2"/>
      </rPr>
      <t xml:space="preserve">열연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후판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선재</t>
    </r>
  </si>
  <si>
    <t xml:space="preserve">PI-UK-05</t>
  </si>
  <si>
    <t xml:space="preserve">POSCO INTL UK LTD</t>
  </si>
  <si>
    <t xml:space="preserve">영국</t>
  </si>
  <si>
    <t xml:space="preserve">PI-ES-06</t>
  </si>
  <si>
    <t xml:space="preserve">POSCO INTL IBERICA S.A.</t>
  </si>
  <si>
    <t xml:space="preserve">스페인</t>
  </si>
  <si>
    <t xml:space="preserve">B+</t>
  </si>
  <si>
    <t xml:space="preserve">PI-FR-07</t>
  </si>
  <si>
    <t xml:space="preserve">POSCO INTL FRANCE SAS</t>
  </si>
  <si>
    <t xml:space="preserve">프랑스</t>
  </si>
  <si>
    <t xml:space="preserve">PI-BE-08</t>
  </si>
  <si>
    <t xml:space="preserve">POSCO INTL BENELUX BV</t>
  </si>
  <si>
    <t xml:space="preserve">벨기에</t>
  </si>
  <si>
    <t xml:space="preserve">PI-CZ-09</t>
  </si>
  <si>
    <t xml:space="preserve">POSCO INTL CZECH s.r.o.</t>
  </si>
  <si>
    <t xml:space="preserve">체코</t>
  </si>
  <si>
    <r>
      <rPr>
        <i val="true"/>
        <sz val="8"/>
        <color rgb="FF424242"/>
        <rFont val="DejaVu Sans"/>
        <family val="2"/>
      </rPr>
      <t xml:space="preserve">철강원료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열연</t>
    </r>
  </si>
  <si>
    <t xml:space="preserve">PI-HU-01</t>
  </si>
  <si>
    <t xml:space="preserve">POSCO INTL HUNGARY Kft</t>
  </si>
  <si>
    <t xml:space="preserve">헝가리</t>
  </si>
  <si>
    <t xml:space="preserve">PI-CA-02</t>
  </si>
  <si>
    <t xml:space="preserve">POSCO INTL CANADA INC</t>
  </si>
  <si>
    <t xml:space="preserve">캐나다</t>
  </si>
  <si>
    <t xml:space="preserve">PI-AR-03</t>
  </si>
  <si>
    <t xml:space="preserve">POSCO INTL ARGENTINA</t>
  </si>
  <si>
    <t xml:space="preserve">아르헨티나</t>
  </si>
  <si>
    <t xml:space="preserve">PI-CL-04</t>
  </si>
  <si>
    <t xml:space="preserve">POSCO INTL CHILE S.A.</t>
  </si>
  <si>
    <t xml:space="preserve">칠레</t>
  </si>
  <si>
    <t xml:space="preserve">PI-PE-05</t>
  </si>
  <si>
    <t xml:space="preserve">POSCO INTL PERU</t>
  </si>
  <si>
    <t xml:space="preserve">페루</t>
  </si>
  <si>
    <t xml:space="preserve">PI-CO-06</t>
  </si>
  <si>
    <t xml:space="preserve">POSCO INTL COLOMBIA</t>
  </si>
  <si>
    <t xml:space="preserve">콜롬비아</t>
  </si>
  <si>
    <t xml:space="preserve">PI-SA-07</t>
  </si>
  <si>
    <t xml:space="preserve">POSCO INTL SAUDI ARABIA</t>
  </si>
  <si>
    <t xml:space="preserve">사우디</t>
  </si>
  <si>
    <t xml:space="preserve">PI-QA-08</t>
  </si>
  <si>
    <t xml:space="preserve">POSCO INTL QATAR</t>
  </si>
  <si>
    <t xml:space="preserve">카타르</t>
  </si>
  <si>
    <r>
      <rPr>
        <i val="true"/>
        <sz val="8"/>
        <color rgb="FF424242"/>
        <rFont val="DejaVu Sans"/>
        <family val="2"/>
      </rPr>
      <t xml:space="preserve">선재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건설용</t>
    </r>
  </si>
  <si>
    <t xml:space="preserve">PI-ZA-09</t>
  </si>
  <si>
    <t xml:space="preserve">POSCO INTL SOUTH AFRICA</t>
  </si>
  <si>
    <t xml:space="preserve">남아공</t>
  </si>
  <si>
    <t xml:space="preserve">아프리카</t>
  </si>
  <si>
    <t xml:space="preserve">PI-EG-01</t>
  </si>
  <si>
    <t xml:space="preserve">POSCO INTL EGYPT</t>
  </si>
  <si>
    <t xml:space="preserve">이집트</t>
  </si>
  <si>
    <t xml:space="preserve">PI-AU-02</t>
  </si>
  <si>
    <t xml:space="preserve">POSCO INTL AUSTRALIA Pty</t>
  </si>
  <si>
    <t xml:space="preserve">호주</t>
  </si>
  <si>
    <t xml:space="preserve">대양주</t>
  </si>
  <si>
    <t xml:space="preserve">PI-NZ-03</t>
  </si>
  <si>
    <t xml:space="preserve">POSCO INTL NEW ZEALAND</t>
  </si>
  <si>
    <t xml:space="preserve">뉴질랜드</t>
  </si>
  <si>
    <t xml:space="preserve">PI-MY-04</t>
  </si>
  <si>
    <t xml:space="preserve">POSCO INTL MALAYSIA SDN</t>
  </si>
  <si>
    <t xml:space="preserve">말레이시아</t>
  </si>
  <si>
    <t xml:space="preserve">PI-PH-05</t>
  </si>
  <si>
    <t xml:space="preserve">POSCO INTL PHILIPPINES</t>
  </si>
  <si>
    <t xml:space="preserve">필리핀</t>
  </si>
  <si>
    <t xml:space="preserve">PI-KZ-06</t>
  </si>
  <si>
    <t xml:space="preserve">POSCO INTL KAZAKHSTAN</t>
  </si>
  <si>
    <t xml:space="preserve">카자흐스탄</t>
  </si>
  <si>
    <t xml:space="preserve">PI-PL-07</t>
  </si>
  <si>
    <t xml:space="preserve">POSCO INTL POLAND E-MOBILITY</t>
  </si>
  <si>
    <t xml:space="preserve">폴란드</t>
  </si>
  <si>
    <t xml:space="preserve">모빌리티</t>
  </si>
  <si>
    <r>
      <rPr>
        <i val="true"/>
        <sz val="8"/>
        <color rgb="FF424242"/>
        <rFont val="DejaVu Sans"/>
        <family val="2"/>
      </rPr>
      <t xml:space="preserve">구동모터코아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핵심부품</t>
    </r>
  </si>
  <si>
    <t xml:space="preserve">PI-IN-08</t>
  </si>
  <si>
    <t xml:space="preserve">POSCO INTL INDIA E-MOBILITY</t>
  </si>
  <si>
    <t xml:space="preserve">구동모터코아</t>
  </si>
  <si>
    <t xml:space="preserve">PI-MX-09</t>
  </si>
  <si>
    <t xml:space="preserve">POSCO INTL MEXICO E-MOBILITY</t>
  </si>
  <si>
    <t xml:space="preserve">PI-CN-01</t>
  </si>
  <si>
    <t xml:space="preserve">Suzhou POSCO CORE TECH</t>
  </si>
  <si>
    <t xml:space="preserve">PI-HU-02</t>
  </si>
  <si>
    <t xml:space="preserve">POSCO INTL HUNGARY E-MOBILITY</t>
  </si>
  <si>
    <t xml:space="preserve">배터리 셀 케이스</t>
  </si>
  <si>
    <t xml:space="preserve">PI-DE-03</t>
  </si>
  <si>
    <t xml:space="preserve">POSCO INTL GERMANY E-MOBILITY</t>
  </si>
  <si>
    <t xml:space="preserve">전기차 부품</t>
  </si>
  <si>
    <t xml:space="preserve">POSCO INTL TEXAS E-MOBILITY</t>
  </si>
  <si>
    <r>
      <rPr>
        <i val="true"/>
        <sz val="8"/>
        <color rgb="FF424242"/>
        <rFont val="DejaVu Sans"/>
        <family val="2"/>
      </rPr>
      <t xml:space="preserve">구동모터코아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전장부품</t>
    </r>
  </si>
  <si>
    <t xml:space="preserve">PI-CZ-05</t>
  </si>
  <si>
    <t xml:space="preserve">POSCO INTL CZECH MOTOR CORE</t>
  </si>
  <si>
    <t xml:space="preserve">PI-VN-06</t>
  </si>
  <si>
    <t xml:space="preserve">POSCO INTL VIETNAM E-MOBILITY</t>
  </si>
  <si>
    <t xml:space="preserve">B</t>
  </si>
  <si>
    <t xml:space="preserve">PI-TH-07</t>
  </si>
  <si>
    <t xml:space="preserve">POSCO INTL THAILAND MOBILITY</t>
  </si>
  <si>
    <t xml:space="preserve">PI-MY-08</t>
  </si>
  <si>
    <t xml:space="preserve">POSCO INTL MY E-MOBILITY</t>
  </si>
  <si>
    <t xml:space="preserve">PI-ID-09</t>
  </si>
  <si>
    <t xml:space="preserve">PT POSCO INTL E-MOBILITY</t>
  </si>
  <si>
    <t xml:space="preserve">인도네시아</t>
  </si>
  <si>
    <t xml:space="preserve">PI-JP-01</t>
  </si>
  <si>
    <t xml:space="preserve">POSCO INTL JAPAN MOTOR</t>
  </si>
  <si>
    <t xml:space="preserve">POSCO INTL CANADA E-MOBILITY</t>
  </si>
  <si>
    <t xml:space="preserve">PI-BR-03</t>
  </si>
  <si>
    <t xml:space="preserve">POSCO INTL BRAZIL E-MOBILITY</t>
  </si>
  <si>
    <t xml:space="preserve">PI-AR-04</t>
  </si>
  <si>
    <t xml:space="preserve">POSCO INTL ARGENTINA MOBILITY</t>
  </si>
  <si>
    <t xml:space="preserve">PI-MM-05</t>
  </si>
  <si>
    <t xml:space="preserve">미얀마가스전</t>
  </si>
  <si>
    <t xml:space="preserve">미얀마</t>
  </si>
  <si>
    <t xml:space="preserve">에너지</t>
  </si>
  <si>
    <r>
      <rPr>
        <i val="true"/>
        <sz val="8"/>
        <color rgb="FF424242"/>
        <rFont val="DejaVu Sans"/>
        <family val="2"/>
      </rPr>
      <t xml:space="preserve">가스탐사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개발</t>
    </r>
  </si>
  <si>
    <t xml:space="preserve">PI-AU-06</t>
  </si>
  <si>
    <t xml:space="preserve">SENEX HOLDINGS PTY LTD</t>
  </si>
  <si>
    <t xml:space="preserve">에너지 발전</t>
  </si>
  <si>
    <t xml:space="preserve">PI-MY-07</t>
  </si>
  <si>
    <t xml:space="preserve">POSCO INTL E&amp;P MALAYSIA</t>
  </si>
  <si>
    <r>
      <rPr>
        <i val="true"/>
        <sz val="8"/>
        <color rgb="FF424242"/>
        <rFont val="맑은 고딕"/>
        <family val="0"/>
        <charset val="1"/>
      </rPr>
      <t xml:space="preserve">LNG </t>
    </r>
    <r>
      <rPr>
        <i val="true"/>
        <sz val="8"/>
        <color rgb="FF424242"/>
        <rFont val="DejaVu Sans"/>
        <family val="2"/>
      </rPr>
      <t xml:space="preserve">트레이딩</t>
    </r>
  </si>
  <si>
    <t xml:space="preserve">PI-ID-08</t>
  </si>
  <si>
    <t xml:space="preserve">PT POSCO INTL E&amp;P INDONESIA</t>
  </si>
  <si>
    <t xml:space="preserve">신재생 발전</t>
  </si>
  <si>
    <t xml:space="preserve">PT.KPE</t>
  </si>
  <si>
    <t xml:space="preserve">PI-ID-01</t>
  </si>
  <si>
    <r>
      <rPr>
        <b val="true"/>
        <sz val="9"/>
        <color rgb="FF311B92"/>
        <rFont val="맑은 고딕"/>
        <family val="0"/>
        <charset val="1"/>
      </rPr>
      <t xml:space="preserve">PT.KPE 2</t>
    </r>
    <r>
      <rPr>
        <b val="true"/>
        <sz val="9"/>
        <color rgb="FF311B92"/>
        <rFont val="DejaVu Sans"/>
        <family val="2"/>
      </rPr>
      <t xml:space="preserve">호기</t>
    </r>
  </si>
  <si>
    <t xml:space="preserve">PI-US-02</t>
  </si>
  <si>
    <t xml:space="preserve">POSCO INTL CCS USA LLC</t>
  </si>
  <si>
    <t xml:space="preserve">PI-OM-03</t>
  </si>
  <si>
    <t xml:space="preserve">POSCO INTL OMAN LNG</t>
  </si>
  <si>
    <t xml:space="preserve">오만</t>
  </si>
  <si>
    <t xml:space="preserve">부생가스발전</t>
  </si>
  <si>
    <t xml:space="preserve">PI-QA-04</t>
  </si>
  <si>
    <t xml:space="preserve">POSCO INTL QATAR ENERGY</t>
  </si>
  <si>
    <t xml:space="preserve">PI-AE-05</t>
  </si>
  <si>
    <t xml:space="preserve">POSCO INTL UAE ENERGY</t>
  </si>
  <si>
    <t xml:space="preserve">POSCO INTL AUSTRALIA LNG</t>
  </si>
  <si>
    <t xml:space="preserve">PI-MZ-07</t>
  </si>
  <si>
    <t xml:space="preserve">POSCO INTL MOZAMBIQUE LNG</t>
  </si>
  <si>
    <t xml:space="preserve">모잠비크</t>
  </si>
  <si>
    <t xml:space="preserve">천연가스</t>
  </si>
  <si>
    <t xml:space="preserve">PI-BD-08</t>
  </si>
  <si>
    <t xml:space="preserve">POSCO INTL BANGLADESH POWER</t>
  </si>
  <si>
    <t xml:space="preserve">방글라데시</t>
  </si>
  <si>
    <t xml:space="preserve">PI-PH-09</t>
  </si>
  <si>
    <t xml:space="preserve">POSCO INTL PHILIPPINES POWER</t>
  </si>
  <si>
    <t xml:space="preserve">PI-VN-01</t>
  </si>
  <si>
    <t xml:space="preserve">POSCO INTL VIETNAM POWER</t>
  </si>
  <si>
    <t xml:space="preserve">PI-CN-02</t>
  </si>
  <si>
    <t xml:space="preserve">POSCO INTL CHINA WIND POWER</t>
  </si>
  <si>
    <t xml:space="preserve">PI-TZ-03</t>
  </si>
  <si>
    <t xml:space="preserve">POSCO INTL TANZANIA MAHENGE</t>
  </si>
  <si>
    <t xml:space="preserve">탄자니아</t>
  </si>
  <si>
    <t xml:space="preserve">자원개발</t>
  </si>
  <si>
    <t xml:space="preserve">구리</t>
  </si>
  <si>
    <t xml:space="preserve">C+</t>
  </si>
  <si>
    <t xml:space="preserve">PI-AU-04</t>
  </si>
  <si>
    <t xml:space="preserve">POSCO INTL AUSTRALIA LITHIUM</t>
  </si>
  <si>
    <r>
      <rPr>
        <i val="true"/>
        <sz val="8"/>
        <color rgb="FF424242"/>
        <rFont val="DejaVu Sans"/>
        <family val="2"/>
      </rPr>
      <t xml:space="preserve">흑연</t>
    </r>
    <r>
      <rPr>
        <i val="true"/>
        <sz val="8"/>
        <color rgb="FF424242"/>
        <rFont val="맑은 고딕"/>
        <family val="0"/>
        <charset val="1"/>
      </rPr>
      <t xml:space="preserve">(</t>
    </r>
    <r>
      <rPr>
        <i val="true"/>
        <sz val="8"/>
        <color rgb="FF424242"/>
        <rFont val="DejaVu Sans"/>
        <family val="2"/>
      </rPr>
      <t xml:space="preserve">이차전지원료</t>
    </r>
    <r>
      <rPr>
        <i val="true"/>
        <sz val="8"/>
        <color rgb="FF424242"/>
        <rFont val="맑은 고딕"/>
        <family val="0"/>
        <charset val="1"/>
      </rPr>
      <t xml:space="preserve">)</t>
    </r>
  </si>
  <si>
    <t xml:space="preserve">PI-CL-05</t>
  </si>
  <si>
    <t xml:space="preserve">POSCO INTL CHILE LITHIUM</t>
  </si>
  <si>
    <t xml:space="preserve">니켈광산</t>
  </si>
  <si>
    <t xml:space="preserve">PI-AR-06</t>
  </si>
  <si>
    <t xml:space="preserve">POSCO INTL ARGENTINA LITHIUM</t>
  </si>
  <si>
    <t xml:space="preserve">희토류</t>
  </si>
  <si>
    <t xml:space="preserve">PI-ID-07</t>
  </si>
  <si>
    <t xml:space="preserve">POSCO INTL INDONESIA NICKEL</t>
  </si>
  <si>
    <t xml:space="preserve">C</t>
  </si>
  <si>
    <t xml:space="preserve">PI-PH-08</t>
  </si>
  <si>
    <t xml:space="preserve">POSCO INTL PHILIPPINES NICKEL</t>
  </si>
  <si>
    <t xml:space="preserve">리튬</t>
  </si>
  <si>
    <t xml:space="preserve">PI-PE-09</t>
  </si>
  <si>
    <t xml:space="preserve">POSCO INTL PERU COPPER</t>
  </si>
  <si>
    <t xml:space="preserve">POSCO INTL CHINA RARE EARTH</t>
  </si>
  <si>
    <t xml:space="preserve">PI-KZ-02</t>
  </si>
  <si>
    <t xml:space="preserve">POSCO INTL KAZAKH MINING</t>
  </si>
  <si>
    <t xml:space="preserve">PI-UA-03</t>
  </si>
  <si>
    <t xml:space="preserve">Mykolaiv Milling Works</t>
  </si>
  <si>
    <t xml:space="preserve">우크라이나</t>
  </si>
  <si>
    <t xml:space="preserve">식량</t>
  </si>
  <si>
    <t xml:space="preserve">곡물집하물류</t>
  </si>
  <si>
    <t xml:space="preserve">PI-ID-04</t>
  </si>
  <si>
    <t xml:space="preserve">PT.BIA</t>
  </si>
  <si>
    <t xml:space="preserve">옥수수 무역</t>
  </si>
  <si>
    <t xml:space="preserve">PI-ID-05</t>
  </si>
  <si>
    <t xml:space="preserve">PT.ARC</t>
  </si>
  <si>
    <t xml:space="preserve">밀 가공</t>
  </si>
  <si>
    <t xml:space="preserve">PI-BR-06</t>
  </si>
  <si>
    <t xml:space="preserve">POSCO INTL BRAZIL GRAIN</t>
  </si>
  <si>
    <t xml:space="preserve">PI-AR-07</t>
  </si>
  <si>
    <t xml:space="preserve">POSCO INTL ARGENTINA GRAIN</t>
  </si>
  <si>
    <t xml:space="preserve">PI-US-08</t>
  </si>
  <si>
    <t xml:space="preserve">POSCO INTL USA GRAIN</t>
  </si>
  <si>
    <t xml:space="preserve">팜유 정제</t>
  </si>
  <si>
    <t xml:space="preserve">PI-AU-09</t>
  </si>
  <si>
    <t xml:space="preserve">POSCO INTL AUSTRALIA GRAIN</t>
  </si>
  <si>
    <t xml:space="preserve">POSCO INTL VIETNAM AGRO</t>
  </si>
  <si>
    <r>
      <rPr>
        <i val="true"/>
        <sz val="8"/>
        <color rgb="FF424242"/>
        <rFont val="DejaVu Sans"/>
        <family val="2"/>
      </rPr>
      <t xml:space="preserve">팜유</t>
    </r>
    <r>
      <rPr>
        <i val="true"/>
        <sz val="8"/>
        <color rgb="FF424242"/>
        <rFont val="맑은 고딕"/>
        <family val="0"/>
        <charset val="1"/>
      </rPr>
      <t xml:space="preserve">(CPO)</t>
    </r>
  </si>
  <si>
    <t xml:space="preserve">PI-MY-02</t>
  </si>
  <si>
    <t xml:space="preserve">POSCO INTL MY PALM OIL</t>
  </si>
  <si>
    <t xml:space="preserve">PI-EG-03</t>
  </si>
  <si>
    <t xml:space="preserve">POSCO INTL EGYPT WHEAT</t>
  </si>
  <si>
    <t xml:space="preserve">PI-IN-04</t>
  </si>
  <si>
    <t xml:space="preserve">POSCO INTL INDIA AGRO</t>
  </si>
  <si>
    <t xml:space="preserve">PI-BD-05</t>
  </si>
  <si>
    <t xml:space="preserve">POSCO INTL BANGLADESH GRAIN</t>
  </si>
  <si>
    <t xml:space="preserve">PI-HK-06</t>
  </si>
  <si>
    <t xml:space="preserve">POSCO INTL HONG KONG</t>
  </si>
  <si>
    <t xml:space="preserve">홍콩</t>
  </si>
  <si>
    <t xml:space="preserve">바이오소재</t>
  </si>
  <si>
    <t xml:space="preserve">바이오 폴리머</t>
  </si>
  <si>
    <t xml:space="preserve">PI-NL-07</t>
  </si>
  <si>
    <t xml:space="preserve">POSCO INTL NETHERLANDS</t>
  </si>
  <si>
    <t xml:space="preserve">네덜란드</t>
  </si>
  <si>
    <r>
      <rPr>
        <i val="true"/>
        <sz val="8"/>
        <color rgb="FF424242"/>
        <rFont val="DejaVu Sans"/>
        <family val="2"/>
      </rPr>
      <t xml:space="preserve">재생수지</t>
    </r>
    <r>
      <rPr>
        <i val="true"/>
        <sz val="8"/>
        <color rgb="FF424242"/>
        <rFont val="맑은 고딕"/>
        <family val="0"/>
        <charset val="1"/>
      </rPr>
      <t xml:space="preserve">/SAF</t>
    </r>
    <r>
      <rPr>
        <i val="true"/>
        <sz val="8"/>
        <color rgb="FF424242"/>
        <rFont val="DejaVu Sans"/>
        <family val="2"/>
      </rPr>
      <t xml:space="preserve">원료</t>
    </r>
  </si>
  <si>
    <t xml:space="preserve">PI-SG-08</t>
  </si>
  <si>
    <t xml:space="preserve">POSCO INTL BIO SINGAPORE</t>
  </si>
  <si>
    <r>
      <rPr>
        <i val="true"/>
        <sz val="8"/>
        <color rgb="FF424242"/>
        <rFont val="DejaVu Sans"/>
        <family val="2"/>
      </rPr>
      <t xml:space="preserve">합성수지</t>
    </r>
    <r>
      <rPr>
        <i val="true"/>
        <sz val="8"/>
        <color rgb="FF424242"/>
        <rFont val="맑은 고딕"/>
        <family val="0"/>
        <charset val="1"/>
      </rPr>
      <t xml:space="preserve">/</t>
    </r>
    <r>
      <rPr>
        <i val="true"/>
        <sz val="8"/>
        <color rgb="FF424242"/>
        <rFont val="DejaVu Sans"/>
        <family val="2"/>
      </rPr>
      <t xml:space="preserve">화성제품</t>
    </r>
  </si>
  <si>
    <t xml:space="preserve">PI-US-09</t>
  </si>
  <si>
    <t xml:space="preserve">POSCO INTL BIO USA</t>
  </si>
  <si>
    <t xml:space="preserve">친환경 소재</t>
  </si>
  <si>
    <t xml:space="preserve">POSCO INTL BIO GERMANY</t>
  </si>
  <si>
    <t xml:space="preserve">PI-FR-02</t>
  </si>
  <si>
    <t xml:space="preserve">POSCO INTL BIO FRANCE</t>
  </si>
  <si>
    <t xml:space="preserve">POSCO INTL BIO JAPAN</t>
  </si>
  <si>
    <t xml:space="preserve">PI-CN-04</t>
  </si>
  <si>
    <t xml:space="preserve">POSCO INTL BIO SHANGHAI</t>
  </si>
  <si>
    <t xml:space="preserve">PI-TW-05</t>
  </si>
  <si>
    <t xml:space="preserve">POSCO INTL BIO TAIWAN</t>
  </si>
  <si>
    <t xml:space="preserve">대만</t>
  </si>
  <si>
    <t xml:space="preserve">POSCO INTL BIO SPAIN</t>
  </si>
  <si>
    <t xml:space="preserve">PI-AU-07</t>
  </si>
  <si>
    <t xml:space="preserve">POSCO INTL HYDROGEN AUS</t>
  </si>
  <si>
    <t xml:space="preserve">그린수소</t>
  </si>
  <si>
    <t xml:space="preserve">그린수소 생산</t>
  </si>
  <si>
    <t xml:space="preserve">PI-OM-08</t>
  </si>
  <si>
    <t xml:space="preserve">POSCO INTL OMAN GREEN H2</t>
  </si>
  <si>
    <t xml:space="preserve">암모니아 합성</t>
  </si>
  <si>
    <t xml:space="preserve">PI-SA-09</t>
  </si>
  <si>
    <t xml:space="preserve">POSCO INTL SAUDI GREEN H2</t>
  </si>
  <si>
    <t xml:space="preserve">PI-AE-01</t>
  </si>
  <si>
    <t xml:space="preserve">POSCO INTL UAE HYDROGEN</t>
  </si>
  <si>
    <t xml:space="preserve">PI-CL-02</t>
  </si>
  <si>
    <t xml:space="preserve">POSCO INTL CHILE GREEN H2</t>
  </si>
  <si>
    <t xml:space="preserve">PI-ZA-03</t>
  </si>
  <si>
    <t xml:space="preserve">POSCO INTL SA HYDROGEN</t>
  </si>
  <si>
    <t xml:space="preserve">수소 인프라</t>
  </si>
  <si>
    <t xml:space="preserve">PI-CA-04</t>
  </si>
  <si>
    <t xml:space="preserve">POSCO INTL CANADA H2</t>
  </si>
  <si>
    <t xml:space="preserve">PI-NZ-05</t>
  </si>
  <si>
    <t xml:space="preserve">POSCO INTL NZ HYDROGEN</t>
  </si>
  <si>
    <t xml:space="preserve">수소 트레이딩</t>
  </si>
  <si>
    <t xml:space="preserve">PI-NL-06</t>
  </si>
  <si>
    <t xml:space="preserve">POSCO INTL NL HYDROGEN HUB</t>
  </si>
  <si>
    <t xml:space="preserve">PI-DE-07</t>
  </si>
  <si>
    <t xml:space="preserve">POSCO INTL DE HYDROGEN</t>
  </si>
  <si>
    <t xml:space="preserve">POSCO INTL US CCS LLC</t>
  </si>
  <si>
    <r>
      <rPr>
        <b val="true"/>
        <sz val="9"/>
        <color rgb="FF3E2723"/>
        <rFont val="맑은 고딕"/>
        <family val="0"/>
        <charset val="1"/>
      </rPr>
      <t xml:space="preserve">CCS</t>
    </r>
    <r>
      <rPr>
        <b val="true"/>
        <sz val="9"/>
        <color rgb="FF3E2723"/>
        <rFont val="DejaVu Sans"/>
        <family val="2"/>
      </rPr>
      <t xml:space="preserve">사업</t>
    </r>
  </si>
  <si>
    <r>
      <rPr>
        <i val="true"/>
        <sz val="8"/>
        <color rgb="FF424242"/>
        <rFont val="맑은 고딕"/>
        <family val="0"/>
        <charset val="1"/>
      </rPr>
      <t xml:space="preserve">CO₂ </t>
    </r>
    <r>
      <rPr>
        <i val="true"/>
        <sz val="8"/>
        <color rgb="FF424242"/>
        <rFont val="DejaVu Sans"/>
        <family val="2"/>
      </rPr>
      <t xml:space="preserve">수송</t>
    </r>
  </si>
  <si>
    <t xml:space="preserve">POSCO INTL AUS CCS</t>
  </si>
  <si>
    <t xml:space="preserve">지중저장 기술</t>
  </si>
  <si>
    <t xml:space="preserve">PI-UK-01</t>
  </si>
  <si>
    <t xml:space="preserve">POSCO INTL UK CCS</t>
  </si>
  <si>
    <t xml:space="preserve">PI-SE-02</t>
  </si>
  <si>
    <t xml:space="preserve">POSCO INTL SWEDEN CCS</t>
  </si>
  <si>
    <t xml:space="preserve">스웨덴</t>
  </si>
  <si>
    <t xml:space="preserve">탄소포집</t>
  </si>
  <si>
    <t xml:space="preserve">PI-CA-03</t>
  </si>
  <si>
    <t xml:space="preserve">POSCO INTL CANADA CCS</t>
  </si>
  <si>
    <t xml:space="preserve">PI-JP-04</t>
  </si>
  <si>
    <t xml:space="preserve">POSCO INTL JAPAN CCS</t>
  </si>
  <si>
    <t xml:space="preserve">PI-FI-05</t>
  </si>
  <si>
    <t xml:space="preserve">POSCO INTL FINLAND CCS</t>
  </si>
  <si>
    <t xml:space="preserve">핀란드</t>
  </si>
  <si>
    <r>
      <rPr>
        <i val="true"/>
        <sz val="8"/>
        <color rgb="FF424242"/>
        <rFont val="맑은 고딕"/>
        <family val="0"/>
        <charset val="1"/>
      </rPr>
      <t xml:space="preserve">CCS</t>
    </r>
    <r>
      <rPr>
        <i val="true"/>
        <sz val="8"/>
        <color rgb="FF424242"/>
        <rFont val="DejaVu Sans"/>
        <family val="2"/>
      </rPr>
      <t xml:space="preserve">기술개발</t>
    </r>
  </si>
  <si>
    <t xml:space="preserve">PI-MY-06</t>
  </si>
  <si>
    <t xml:space="preserve">POSCO INTL MALAYSIA CCS</t>
  </si>
  <si>
    <t xml:space="preserve">POSCO INTL INDO CCS</t>
  </si>
  <si>
    <t xml:space="preserve">PI-ZA-08</t>
  </si>
  <si>
    <t xml:space="preserve">POSCO INTL SA CCS</t>
  </si>
  <si>
    <t xml:space="preserve">PI-BR-09</t>
  </si>
  <si>
    <t xml:space="preserve">POSCO INTL BIO BRAZIL</t>
  </si>
  <si>
    <t xml:space="preserve">PI-MX-01</t>
  </si>
  <si>
    <t xml:space="preserve">POSCO INTL BIO MEXICO</t>
  </si>
  <si>
    <t xml:space="preserve">PI-IL-02</t>
  </si>
  <si>
    <t xml:space="preserve">POSCO INTL ISRAEL ENERGY</t>
  </si>
  <si>
    <t xml:space="preserve">이스라엘</t>
  </si>
  <si>
    <t xml:space="preserve">PI-FI-03</t>
  </si>
  <si>
    <t xml:space="preserve">POSCO INTL FINLAND POWER</t>
  </si>
  <si>
    <r>
      <rPr>
        <b val="true"/>
        <sz val="18"/>
        <color rgb="FFFFFFFF"/>
        <rFont val="DejaVu Sans"/>
        <family val="2"/>
      </rPr>
      <t xml:space="preserve">👑 지역별 연간 통합 실적 </t>
    </r>
    <r>
      <rPr>
        <b val="true"/>
        <sz val="18"/>
        <color rgb="FFFFFFFF"/>
        <rFont val="맑은 고딕"/>
        <family val="0"/>
        <charset val="1"/>
      </rPr>
      <t xml:space="preserve">(2026)</t>
    </r>
  </si>
  <si>
    <t xml:space="preserve">법인 수</t>
  </si>
  <si>
    <r>
      <rPr>
        <b val="true"/>
        <sz val="11"/>
        <color rgb="FFFFFFFF"/>
        <rFont val="DejaVu Sans"/>
        <family val="2"/>
      </rPr>
      <t xml:space="preserve">연 매출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백만원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</si>
  <si>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연 영업이익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백만원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</si>
  <si>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DejaVu Sans"/>
        <family val="2"/>
      </rPr>
      <t xml:space="preserve">영업이익률</t>
    </r>
    <r>
      <rPr>
        <b val="true"/>
        <sz val="11"/>
        <color rgb="FFFFFFFF"/>
        <rFont val="맑은 고딕"/>
        <family val="0"/>
        <charset val="1"/>
      </rPr>
      <t xml:space="preserve">(%)</t>
    </r>
  </si>
  <si>
    <t xml:space="preserve">평균 임직원수</t>
  </si>
  <si>
    <t xml:space="preserve">👑 GLOBAL 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</si>
</sst>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\%"/>
    <numFmt numFmtId="166" formatCode="#,##0\명"/>
    <numFmt numFmtId="167" formatCode="#,##0;\(#,##0\);\-"/>
    <numFmt numFmtId="168" formatCode="#,##0;[RED]\(#,##0\);\-"/>
    <numFmt numFmtId="169" formatCode="#,##0\개"/>
    <numFmt numFmtId="170" formatCode="0.0%;[RED]\(0.0%\);\-"/>
    <numFmt numFmtId="171" formatCode="0.0%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맑은 고딕"/>
      <family val="0"/>
      <charset val="1"/>
    </font>
    <font>
      <b val="true"/>
      <sz val="22"/>
      <color rgb="FFFFFFFF"/>
      <name val="DejaVu Sans"/>
      <family val="2"/>
    </font>
    <font>
      <i val="true"/>
      <sz val="11"/>
      <color rgb="FFD1C4E9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맑은 고딕"/>
      <family val="0"/>
      <charset val="1"/>
    </font>
    <font>
      <b val="true"/>
      <sz val="11"/>
      <color rgb="FF1A0033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맑은 고딕"/>
      <family val="0"/>
      <charset val="1"/>
    </font>
    <font>
      <b val="true"/>
      <sz val="10"/>
      <color rgb="FF1A0033"/>
      <name val="DejaVu Sans"/>
      <family val="2"/>
    </font>
    <font>
      <b val="true"/>
      <sz val="9"/>
      <color rgb="FF1A0033"/>
      <name val="Consolas"/>
      <family val="0"/>
      <charset val="1"/>
    </font>
    <font>
      <b val="true"/>
      <sz val="9"/>
      <color rgb="FF311B92"/>
      <name val="맑은 고딕"/>
      <family val="0"/>
      <charset val="1"/>
    </font>
    <font>
      <b val="true"/>
      <sz val="9"/>
      <color rgb="FF1A237E"/>
      <name val="DejaVu Sans"/>
      <family val="2"/>
    </font>
    <font>
      <i val="true"/>
      <sz val="9"/>
      <color rgb="FF1A237E"/>
      <name val="DejaVu Sans"/>
      <family val="2"/>
    </font>
    <font>
      <b val="true"/>
      <sz val="9"/>
      <color rgb="FF3E2723"/>
      <name val="DejaVu Sans"/>
      <family val="2"/>
    </font>
    <font>
      <sz val="9"/>
      <name val="맑은 고딕"/>
      <family val="0"/>
      <charset val="1"/>
    </font>
    <font>
      <b val="true"/>
      <sz val="10"/>
      <color rgb="FF1A0033"/>
      <name val="맑은 고딕"/>
      <family val="0"/>
      <charset val="1"/>
    </font>
    <font>
      <i val="true"/>
      <sz val="8"/>
      <color rgb="FF424242"/>
      <name val="맑은 고딕"/>
      <family val="0"/>
      <charset val="1"/>
    </font>
    <font>
      <i val="true"/>
      <sz val="8"/>
      <color rgb="FF424242"/>
      <name val="DejaVu Sans"/>
      <family val="2"/>
    </font>
    <font>
      <b val="true"/>
      <sz val="9"/>
      <color rgb="FF880E4F"/>
      <name val="DejaVu Sans"/>
      <family val="2"/>
    </font>
    <font>
      <i val="true"/>
      <sz val="9"/>
      <color rgb="FF880E4F"/>
      <name val="DejaVu Sans"/>
      <family val="2"/>
    </font>
    <font>
      <b val="true"/>
      <sz val="9"/>
      <color rgb="FF01579B"/>
      <name val="DejaVu Sans"/>
      <family val="2"/>
    </font>
    <font>
      <i val="true"/>
      <sz val="9"/>
      <color rgb="FF01579B"/>
      <name val="DejaVu Sans"/>
      <family val="2"/>
    </font>
    <font>
      <b val="true"/>
      <sz val="9"/>
      <color rgb="FFE65100"/>
      <name val="DejaVu Sans"/>
      <family val="2"/>
    </font>
    <font>
      <i val="true"/>
      <sz val="9"/>
      <color rgb="FFE65100"/>
      <name val="DejaVu Sans"/>
      <family val="2"/>
    </font>
    <font>
      <b val="true"/>
      <sz val="9"/>
      <color rgb="FF33691E"/>
      <name val="DejaVu Sans"/>
      <family val="2"/>
    </font>
    <font>
      <i val="true"/>
      <sz val="9"/>
      <color rgb="FF33691E"/>
      <name val="DejaVu Sans"/>
      <family val="2"/>
    </font>
    <font>
      <b val="true"/>
      <sz val="9"/>
      <color rgb="FFBF360C"/>
      <name val="DejaVu Sans"/>
      <family val="2"/>
    </font>
    <font>
      <i val="true"/>
      <sz val="9"/>
      <color rgb="FFBF360C"/>
      <name val="DejaVu Sans"/>
      <family val="2"/>
    </font>
    <font>
      <b val="true"/>
      <sz val="9"/>
      <color rgb="FF004D40"/>
      <name val="DejaVu Sans"/>
      <family val="2"/>
    </font>
    <font>
      <i val="true"/>
      <sz val="9"/>
      <color rgb="FF004D40"/>
      <name val="DejaVu Sans"/>
      <family val="2"/>
    </font>
    <font>
      <sz val="9"/>
      <color rgb="FFC62828"/>
      <name val="맑은 고딕"/>
      <family val="0"/>
      <charset val="1"/>
    </font>
    <font>
      <b val="true"/>
      <sz val="9"/>
      <color rgb="FF311B92"/>
      <name val="DejaVu Sans"/>
      <family val="2"/>
    </font>
    <font>
      <b val="true"/>
      <sz val="9"/>
      <color rgb="FF3E2723"/>
      <name val="맑은 고딕"/>
      <family val="0"/>
      <charset val="1"/>
    </font>
    <font>
      <b val="true"/>
      <sz val="18"/>
      <color rgb="FFFFFFFF"/>
      <name val="DejaVu Sans"/>
      <family val="2"/>
    </font>
    <font>
      <b val="true"/>
      <sz val="18"/>
      <color rgb="FFFFFFFF"/>
      <name val="맑은 고딕"/>
      <family val="0"/>
      <charset val="1"/>
    </font>
    <font>
      <b val="true"/>
      <sz val="10"/>
      <color rgb="FF1A237E"/>
      <name val="DejaVu Sans"/>
      <family val="2"/>
    </font>
    <font>
      <sz val="10"/>
      <name val="맑은 고딕"/>
      <family val="0"/>
      <charset val="1"/>
    </font>
    <font>
      <b val="true"/>
      <sz val="10"/>
      <color rgb="FF880E4F"/>
      <name val="DejaVu Sans"/>
      <family val="2"/>
    </font>
    <font>
      <b val="true"/>
      <sz val="10"/>
      <color rgb="FF01579B"/>
      <name val="DejaVu Sans"/>
      <family val="2"/>
    </font>
    <font>
      <b val="true"/>
      <sz val="10"/>
      <color rgb="FFE65100"/>
      <name val="DejaVu Sans"/>
      <family val="2"/>
    </font>
    <font>
      <b val="true"/>
      <sz val="10"/>
      <color rgb="FF33691E"/>
      <name val="DejaVu Sans"/>
      <family val="2"/>
    </font>
    <font>
      <b val="true"/>
      <sz val="10"/>
      <color rgb="FF004D40"/>
      <name val="DejaVu Sans"/>
      <family val="2"/>
    </font>
    <font>
      <b val="true"/>
      <sz val="10"/>
      <color rgb="FFBF360C"/>
      <name val="DejaVu Sans"/>
      <family val="2"/>
    </font>
    <font>
      <b val="true"/>
      <sz val="12"/>
      <color rgb="FFFFFFFF"/>
      <name val="맑은 고딕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1A0033"/>
        <bgColor rgb="FF000000"/>
      </patternFill>
    </fill>
    <fill>
      <patternFill patternType="solid">
        <fgColor rgb="FF311B92"/>
        <bgColor rgb="FF4527A0"/>
      </patternFill>
    </fill>
    <fill>
      <patternFill patternType="solid">
        <fgColor rgb="FF4527A0"/>
        <bgColor rgb="FF311B92"/>
      </patternFill>
    </fill>
    <fill>
      <patternFill patternType="solid">
        <fgColor rgb="FF7E57C2"/>
        <bgColor rgb="FF993366"/>
      </patternFill>
    </fill>
    <fill>
      <patternFill patternType="solid">
        <fgColor rgb="FFFFB300"/>
        <bgColor rgb="FFF57C00"/>
      </patternFill>
    </fill>
    <fill>
      <patternFill patternType="solid">
        <fgColor rgb="FFD1C4E9"/>
        <bgColor rgb="FFC5CAE9"/>
      </patternFill>
    </fill>
    <fill>
      <patternFill patternType="solid">
        <fgColor rgb="FFF3E5F5"/>
        <bgColor rgb="FFEDE7F6"/>
      </patternFill>
    </fill>
    <fill>
      <patternFill patternType="solid">
        <fgColor rgb="FFC5CAE9"/>
        <bgColor rgb="FFD1C4E9"/>
      </patternFill>
    </fill>
    <fill>
      <patternFill patternType="solid">
        <fgColor rgb="FFE1BEE7"/>
        <bgColor rgb="FFD1C4E9"/>
      </patternFill>
    </fill>
    <fill>
      <patternFill patternType="solid">
        <fgColor rgb="FFEDE7F6"/>
        <bgColor rgb="FFF3E5F5"/>
      </patternFill>
    </fill>
    <fill>
      <patternFill patternType="solid">
        <fgColor rgb="FFE8F5E9"/>
        <bgColor rgb="FFF8F4FB"/>
      </patternFill>
    </fill>
    <fill>
      <patternFill patternType="solid">
        <fgColor rgb="FF388E3C"/>
        <bgColor rgb="FF33691E"/>
      </patternFill>
    </fill>
    <fill>
      <patternFill patternType="solid">
        <fgColor rgb="FFFFFFFF"/>
        <bgColor rgb="FFF8F4FB"/>
      </patternFill>
    </fill>
    <fill>
      <patternFill patternType="solid">
        <fgColor rgb="FFF8F4FB"/>
        <bgColor rgb="FFFFFFFF"/>
      </patternFill>
    </fill>
    <fill>
      <patternFill patternType="solid">
        <fgColor rgb="FFF8BBD0"/>
        <bgColor rgb="FFFFCDD2"/>
      </patternFill>
    </fill>
    <fill>
      <patternFill patternType="solid">
        <fgColor rgb="FFB3E5FC"/>
        <bgColor rgb="FFB2EBF2"/>
      </patternFill>
    </fill>
    <fill>
      <patternFill patternType="solid">
        <fgColor rgb="FF1B5E20"/>
        <bgColor rgb="FF33691E"/>
      </patternFill>
    </fill>
    <fill>
      <patternFill patternType="solid">
        <fgColor rgb="FFFFE0B2"/>
        <bgColor rgb="FFFFCCBC"/>
      </patternFill>
    </fill>
    <fill>
      <patternFill patternType="solid">
        <fgColor rgb="FFDCEDC8"/>
        <bgColor rgb="FFC8E6C9"/>
      </patternFill>
    </fill>
    <fill>
      <patternFill patternType="solid">
        <fgColor rgb="FF0277BD"/>
        <bgColor rgb="FF1976D2"/>
      </patternFill>
    </fill>
    <fill>
      <patternFill patternType="solid">
        <fgColor rgb="FFFFCCBC"/>
        <bgColor rgb="FFFFCDD2"/>
      </patternFill>
    </fill>
    <fill>
      <patternFill patternType="solid">
        <fgColor rgb="FFB2DFDB"/>
        <bgColor rgb="FFB3E5FC"/>
      </patternFill>
    </fill>
    <fill>
      <patternFill patternType="solid">
        <fgColor rgb="FFFFCDD2"/>
        <bgColor rgb="FFFFCCBC"/>
      </patternFill>
    </fill>
    <fill>
      <patternFill patternType="solid">
        <fgColor rgb="FF1976D2"/>
        <bgColor rgb="FF0277BD"/>
      </patternFill>
    </fill>
    <fill>
      <patternFill patternType="solid">
        <fgColor rgb="FFC8E6C9"/>
        <bgColor rgb="FFDCEDC8"/>
      </patternFill>
    </fill>
    <fill>
      <patternFill patternType="solid">
        <fgColor rgb="FFF57C00"/>
        <bgColor rgb="FFEF6C00"/>
      </patternFill>
    </fill>
    <fill>
      <patternFill patternType="solid">
        <fgColor rgb="FFEF6C00"/>
        <bgColor rgb="FFF57C00"/>
      </patternFill>
    </fill>
    <fill>
      <patternFill patternType="solid">
        <fgColor rgb="FFB2EBF2"/>
        <bgColor rgb="FFB3E5FC"/>
      </patternFill>
    </fill>
    <fill>
      <patternFill patternType="solid">
        <fgColor rgb="FFC5E1A5"/>
        <bgColor rgb="FFC8E6C9"/>
      </patternFill>
    </fill>
    <fill>
      <patternFill patternType="solid">
        <fgColor rgb="FFB0BEC5"/>
        <bgColor rgb="FFC5CA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A0033"/>
      </left>
      <right style="medium">
        <color rgb="FF1A0033"/>
      </right>
      <top style="medium">
        <color rgb="FF1A0033"/>
      </top>
      <bottom style="medium">
        <color rgb="FF1A0033"/>
      </bottom>
      <diagonal/>
    </border>
    <border diagonalUp="false" diagonalDown="false">
      <left style="thin">
        <color rgb="FF7E57C2"/>
      </left>
      <right style="thin">
        <color rgb="FF7E57C2"/>
      </right>
      <top style="thin">
        <color rgb="FF7E57C2"/>
      </top>
      <bottom style="thin">
        <color rgb="FF7E57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1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1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34" fillId="1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0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4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CDD2"/>
      <rgbColor rgb="FFFF00FF"/>
      <rgbColor rgb="FF00FFFF"/>
      <rgbColor rgb="FF800000"/>
      <rgbColor rgb="FF1B5E20"/>
      <rgbColor rgb="FF1A0033"/>
      <rgbColor rgb="FF808000"/>
      <rgbColor rgb="FF880E4F"/>
      <rgbColor rgb="FF01579B"/>
      <rgbColor rgb="FFB0BEC5"/>
      <rgbColor rgb="FFF3E5F5"/>
      <rgbColor rgb="FFD1C4E9"/>
      <rgbColor rgb="FFC62828"/>
      <rgbColor rgb="FFE8F5E9"/>
      <rgbColor rgb="FFB2EBF2"/>
      <rgbColor rgb="FF660066"/>
      <rgbColor rgb="FFE65100"/>
      <rgbColor rgb="FF0277BD"/>
      <rgbColor rgb="FFC5CAE9"/>
      <rgbColor rgb="FF311B92"/>
      <rgbColor rgb="FFFF00FF"/>
      <rgbColor rgb="FFF8F4FB"/>
      <rgbColor rgb="FF00FFFF"/>
      <rgbColor rgb="FF800080"/>
      <rgbColor rgb="FF800000"/>
      <rgbColor rgb="FF33691E"/>
      <rgbColor rgb="FF0000FF"/>
      <rgbColor rgb="FF00CCFF"/>
      <rgbColor rgb="FFB3E5FC"/>
      <rgbColor rgb="FFDCEDC8"/>
      <rgbColor rgb="FFFFE0B2"/>
      <rgbColor rgb="FFB2DFDB"/>
      <rgbColor rgb="FFF8BBD0"/>
      <rgbColor rgb="FFE1BEE7"/>
      <rgbColor rgb="FFFFCCBC"/>
      <rgbColor rgb="FF1976D2"/>
      <rgbColor rgb="FFEDE7F6"/>
      <rgbColor rgb="FFC5E1A5"/>
      <rgbColor rgb="FFFFB300"/>
      <rgbColor rgb="FFF57C00"/>
      <rgbColor rgb="FFEF6C00"/>
      <rgbColor rgb="FF7E57C2"/>
      <rgbColor rgb="FFC8E6C9"/>
      <rgbColor rgb="FF1A237E"/>
      <rgbColor rgb="FF388E3C"/>
      <rgbColor rgb="FF004D40"/>
      <rgbColor rgb="FF424242"/>
      <rgbColor rgb="FFBF360C"/>
      <rgbColor rgb="FF993366"/>
      <rgbColor rgb="FF4527A0"/>
      <rgbColor rgb="FF3E27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0033"/>
    <pageSetUpPr fitToPage="false"/>
  </sheetPr>
  <dimension ref="A1:S1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11" min="8" style="0" width="11"/>
    <col collapsed="false" customWidth="true" hidden="false" outlineLevel="0" max="12" min="12" style="0" width="13"/>
    <col collapsed="false" customWidth="true" hidden="false" outlineLevel="0" max="16" min="13" style="0" width="12"/>
    <col collapsed="false" customWidth="true" hidden="false" outlineLevel="0" max="17" min="17" style="0" width="13"/>
    <col collapsed="false" customWidth="true" hidden="false" outlineLevel="0" max="18" min="18" style="0" width="28"/>
    <col collapsed="false" customWidth="true" hidden="false" outlineLevel="0" max="19" min="19" style="0" width="11"/>
  </cols>
  <sheetData>
    <row r="1" customFormat="false" ht="4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4" t="s">
        <v>3</v>
      </c>
      <c r="I4" s="4"/>
      <c r="J4" s="4"/>
      <c r="K4" s="4"/>
      <c r="L4" s="4"/>
      <c r="M4" s="5" t="s">
        <v>4</v>
      </c>
      <c r="N4" s="5"/>
      <c r="O4" s="5"/>
      <c r="P4" s="5"/>
      <c r="Q4" s="5"/>
      <c r="R4" s="6" t="s">
        <v>5</v>
      </c>
      <c r="S4" s="6"/>
    </row>
    <row r="5" customFormat="false" ht="36" hidden="false" customHeight="tru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9" t="s">
        <v>17</v>
      </c>
      <c r="M5" s="10" t="s">
        <v>18</v>
      </c>
      <c r="N5" s="10" t="s">
        <v>19</v>
      </c>
      <c r="O5" s="10" t="s">
        <v>20</v>
      </c>
      <c r="P5" s="10" t="s">
        <v>21</v>
      </c>
      <c r="Q5" s="11" t="s">
        <v>22</v>
      </c>
      <c r="R5" s="12" t="s">
        <v>23</v>
      </c>
      <c r="S5" s="12" t="s">
        <v>24</v>
      </c>
    </row>
    <row r="6" customFormat="false" ht="15" hidden="false" customHeight="false" outlineLevel="0" collapsed="false">
      <c r="A6" s="13" t="s">
        <v>25</v>
      </c>
      <c r="B6" s="14" t="s">
        <v>26</v>
      </c>
      <c r="C6" s="15" t="s">
        <v>27</v>
      </c>
      <c r="D6" s="16" t="s">
        <v>28</v>
      </c>
      <c r="E6" s="17" t="s">
        <v>29</v>
      </c>
      <c r="F6" s="18" t="n">
        <v>100</v>
      </c>
      <c r="G6" s="19" t="n">
        <v>64</v>
      </c>
      <c r="H6" s="20" t="n">
        <v>31608</v>
      </c>
      <c r="I6" s="20" t="n">
        <v>33587</v>
      </c>
      <c r="J6" s="20" t="n">
        <v>33913</v>
      </c>
      <c r="K6" s="20" t="n">
        <v>32899</v>
      </c>
      <c r="L6" s="21" t="n">
        <f aca="false">SUM(H6:K6)</f>
        <v>132007</v>
      </c>
      <c r="M6" s="22" t="n">
        <v>1683</v>
      </c>
      <c r="N6" s="22" t="n">
        <v>1765</v>
      </c>
      <c r="O6" s="22" t="n">
        <v>1902</v>
      </c>
      <c r="P6" s="22" t="n">
        <v>1725</v>
      </c>
      <c r="Q6" s="23" t="n">
        <f aca="false">SUM(M6:P6)</f>
        <v>7075</v>
      </c>
      <c r="R6" s="24" t="s">
        <v>30</v>
      </c>
      <c r="S6" s="25" t="s">
        <v>31</v>
      </c>
    </row>
    <row r="7" customFormat="false" ht="15" hidden="false" customHeight="false" outlineLevel="0" collapsed="false">
      <c r="A7" s="13" t="s">
        <v>32</v>
      </c>
      <c r="B7" s="26" t="s">
        <v>33</v>
      </c>
      <c r="C7" s="15" t="s">
        <v>34</v>
      </c>
      <c r="D7" s="16" t="s">
        <v>28</v>
      </c>
      <c r="E7" s="17" t="s">
        <v>29</v>
      </c>
      <c r="F7" s="27" t="n">
        <v>100</v>
      </c>
      <c r="G7" s="28" t="n">
        <v>40</v>
      </c>
      <c r="H7" s="29" t="n">
        <v>60905</v>
      </c>
      <c r="I7" s="29" t="n">
        <v>73634</v>
      </c>
      <c r="J7" s="29" t="n">
        <v>65482</v>
      </c>
      <c r="K7" s="29" t="n">
        <v>78513</v>
      </c>
      <c r="L7" s="21" t="n">
        <f aca="false">SUM(H7:K7)</f>
        <v>278534</v>
      </c>
      <c r="M7" s="30" t="n">
        <v>4207</v>
      </c>
      <c r="N7" s="30" t="n">
        <v>4407</v>
      </c>
      <c r="O7" s="30" t="n">
        <v>3972</v>
      </c>
      <c r="P7" s="30" t="n">
        <v>5887</v>
      </c>
      <c r="Q7" s="23" t="n">
        <f aca="false">SUM(M7:P7)</f>
        <v>18473</v>
      </c>
      <c r="R7" s="31" t="s">
        <v>35</v>
      </c>
      <c r="S7" s="25" t="s">
        <v>31</v>
      </c>
    </row>
    <row r="8" customFormat="false" ht="15" hidden="false" customHeight="false" outlineLevel="0" collapsed="false">
      <c r="A8" s="13" t="s">
        <v>36</v>
      </c>
      <c r="B8" s="14" t="s">
        <v>37</v>
      </c>
      <c r="C8" s="32" t="s">
        <v>38</v>
      </c>
      <c r="D8" s="33" t="s">
        <v>39</v>
      </c>
      <c r="E8" s="17" t="s">
        <v>29</v>
      </c>
      <c r="F8" s="18" t="n">
        <v>100</v>
      </c>
      <c r="G8" s="19" t="n">
        <v>23</v>
      </c>
      <c r="H8" s="20" t="n">
        <v>29765</v>
      </c>
      <c r="I8" s="20" t="n">
        <v>30319</v>
      </c>
      <c r="J8" s="20" t="n">
        <v>27371</v>
      </c>
      <c r="K8" s="20" t="n">
        <v>34025</v>
      </c>
      <c r="L8" s="21" t="n">
        <f aca="false">SUM(H8:K8)</f>
        <v>121480</v>
      </c>
      <c r="M8" s="22" t="n">
        <v>1865</v>
      </c>
      <c r="N8" s="22" t="n">
        <v>2226</v>
      </c>
      <c r="O8" s="22" t="n">
        <v>1748</v>
      </c>
      <c r="P8" s="22" t="n">
        <v>2235</v>
      </c>
      <c r="Q8" s="23" t="n">
        <f aca="false">SUM(M8:P8)</f>
        <v>8074</v>
      </c>
      <c r="R8" s="24" t="s">
        <v>30</v>
      </c>
      <c r="S8" s="25" t="s">
        <v>31</v>
      </c>
    </row>
    <row r="9" customFormat="false" ht="15" hidden="false" customHeight="false" outlineLevel="0" collapsed="false">
      <c r="A9" s="13" t="s">
        <v>40</v>
      </c>
      <c r="B9" s="26" t="s">
        <v>41</v>
      </c>
      <c r="C9" s="34" t="s">
        <v>42</v>
      </c>
      <c r="D9" s="35" t="s">
        <v>43</v>
      </c>
      <c r="E9" s="17" t="s">
        <v>29</v>
      </c>
      <c r="F9" s="27" t="n">
        <v>100</v>
      </c>
      <c r="G9" s="28" t="n">
        <v>69</v>
      </c>
      <c r="H9" s="29" t="n">
        <v>56252</v>
      </c>
      <c r="I9" s="29" t="n">
        <v>59397</v>
      </c>
      <c r="J9" s="29" t="n">
        <v>57040</v>
      </c>
      <c r="K9" s="29" t="n">
        <v>58367</v>
      </c>
      <c r="L9" s="21" t="n">
        <f aca="false">SUM(H9:K9)</f>
        <v>231056</v>
      </c>
      <c r="M9" s="30" t="n">
        <v>3769</v>
      </c>
      <c r="N9" s="30" t="n">
        <v>3677</v>
      </c>
      <c r="O9" s="30" t="n">
        <v>3965</v>
      </c>
      <c r="P9" s="30" t="n">
        <v>3558</v>
      </c>
      <c r="Q9" s="23" t="n">
        <f aca="false">SUM(M9:P9)</f>
        <v>14969</v>
      </c>
      <c r="R9" s="31" t="s">
        <v>44</v>
      </c>
      <c r="S9" s="36" t="s">
        <v>45</v>
      </c>
    </row>
    <row r="10" customFormat="false" ht="15" hidden="false" customHeight="false" outlineLevel="0" collapsed="false">
      <c r="A10" s="13" t="s">
        <v>46</v>
      </c>
      <c r="B10" s="14" t="s">
        <v>47</v>
      </c>
      <c r="C10" s="37" t="s">
        <v>48</v>
      </c>
      <c r="D10" s="38" t="s">
        <v>49</v>
      </c>
      <c r="E10" s="17" t="s">
        <v>29</v>
      </c>
      <c r="F10" s="18" t="n">
        <v>100</v>
      </c>
      <c r="G10" s="19" t="n">
        <v>62</v>
      </c>
      <c r="H10" s="20" t="n">
        <v>87993</v>
      </c>
      <c r="I10" s="20" t="n">
        <v>85628</v>
      </c>
      <c r="J10" s="20" t="n">
        <v>83198</v>
      </c>
      <c r="K10" s="20" t="n">
        <v>93811</v>
      </c>
      <c r="L10" s="21" t="n">
        <f aca="false">SUM(H10:K10)</f>
        <v>350630</v>
      </c>
      <c r="M10" s="22" t="n">
        <v>4546</v>
      </c>
      <c r="N10" s="22" t="n">
        <v>5527</v>
      </c>
      <c r="O10" s="22" t="n">
        <v>5320</v>
      </c>
      <c r="P10" s="22" t="n">
        <v>4814</v>
      </c>
      <c r="Q10" s="23" t="n">
        <f aca="false">SUM(M10:P10)</f>
        <v>20207</v>
      </c>
      <c r="R10" s="24" t="s">
        <v>30</v>
      </c>
      <c r="S10" s="25" t="s">
        <v>31</v>
      </c>
    </row>
    <row r="11" customFormat="false" ht="15" hidden="false" customHeight="false" outlineLevel="0" collapsed="false">
      <c r="A11" s="13" t="s">
        <v>50</v>
      </c>
      <c r="B11" s="26" t="s">
        <v>51</v>
      </c>
      <c r="C11" s="32" t="s">
        <v>52</v>
      </c>
      <c r="D11" s="33" t="s">
        <v>39</v>
      </c>
      <c r="E11" s="17" t="s">
        <v>29</v>
      </c>
      <c r="F11" s="27" t="n">
        <v>51</v>
      </c>
      <c r="G11" s="28" t="n">
        <v>30</v>
      </c>
      <c r="H11" s="29" t="n">
        <v>99103</v>
      </c>
      <c r="I11" s="29" t="n">
        <v>92137</v>
      </c>
      <c r="J11" s="29" t="n">
        <v>88476</v>
      </c>
      <c r="K11" s="29" t="n">
        <v>110514</v>
      </c>
      <c r="L11" s="21" t="n">
        <f aca="false">SUM(H11:K11)</f>
        <v>390230</v>
      </c>
      <c r="M11" s="30" t="n">
        <v>6357</v>
      </c>
      <c r="N11" s="30" t="n">
        <v>5998</v>
      </c>
      <c r="O11" s="30" t="n">
        <v>5933</v>
      </c>
      <c r="P11" s="30" t="n">
        <v>6590</v>
      </c>
      <c r="Q11" s="23" t="n">
        <f aca="false">SUM(M11:P11)</f>
        <v>24878</v>
      </c>
      <c r="R11" s="31" t="s">
        <v>53</v>
      </c>
      <c r="S11" s="25" t="s">
        <v>31</v>
      </c>
    </row>
    <row r="12" customFormat="false" ht="15" hidden="false" customHeight="false" outlineLevel="0" collapsed="false">
      <c r="A12" s="13" t="s">
        <v>54</v>
      </c>
      <c r="B12" s="14" t="s">
        <v>55</v>
      </c>
      <c r="C12" s="32" t="s">
        <v>56</v>
      </c>
      <c r="D12" s="33" t="s">
        <v>39</v>
      </c>
      <c r="E12" s="17" t="s">
        <v>29</v>
      </c>
      <c r="F12" s="18" t="n">
        <v>100</v>
      </c>
      <c r="G12" s="19" t="n">
        <v>69</v>
      </c>
      <c r="H12" s="20" t="n">
        <v>70426</v>
      </c>
      <c r="I12" s="20" t="n">
        <v>72812</v>
      </c>
      <c r="J12" s="20" t="n">
        <v>69377</v>
      </c>
      <c r="K12" s="20" t="n">
        <v>77363</v>
      </c>
      <c r="L12" s="21" t="n">
        <f aca="false">SUM(H12:K12)</f>
        <v>289978</v>
      </c>
      <c r="M12" s="22" t="n">
        <v>4747</v>
      </c>
      <c r="N12" s="22" t="n">
        <v>5266</v>
      </c>
      <c r="O12" s="22" t="n">
        <v>5056</v>
      </c>
      <c r="P12" s="22" t="n">
        <v>6169</v>
      </c>
      <c r="Q12" s="23" t="n">
        <f aca="false">SUM(M12:P12)</f>
        <v>21238</v>
      </c>
      <c r="R12" s="39" t="s">
        <v>57</v>
      </c>
      <c r="S12" s="25" t="s">
        <v>31</v>
      </c>
    </row>
    <row r="13" customFormat="false" ht="15" hidden="false" customHeight="false" outlineLevel="0" collapsed="false">
      <c r="A13" s="13" t="s">
        <v>58</v>
      </c>
      <c r="B13" s="26" t="s">
        <v>59</v>
      </c>
      <c r="C13" s="32" t="s">
        <v>60</v>
      </c>
      <c r="D13" s="33" t="s">
        <v>39</v>
      </c>
      <c r="E13" s="17" t="s">
        <v>29</v>
      </c>
      <c r="F13" s="27" t="n">
        <v>100</v>
      </c>
      <c r="G13" s="28" t="n">
        <v>48</v>
      </c>
      <c r="H13" s="29" t="n">
        <v>49246</v>
      </c>
      <c r="I13" s="29" t="n">
        <v>45188</v>
      </c>
      <c r="J13" s="29" t="n">
        <v>47139</v>
      </c>
      <c r="K13" s="29" t="n">
        <v>53583</v>
      </c>
      <c r="L13" s="21" t="n">
        <f aca="false">SUM(H13:K13)</f>
        <v>195156</v>
      </c>
      <c r="M13" s="30" t="n">
        <v>2935</v>
      </c>
      <c r="N13" s="30" t="n">
        <v>3113</v>
      </c>
      <c r="O13" s="30" t="n">
        <v>3249</v>
      </c>
      <c r="P13" s="30" t="n">
        <v>3572</v>
      </c>
      <c r="Q13" s="23" t="n">
        <f aca="false">SUM(M13:P13)</f>
        <v>12869</v>
      </c>
      <c r="R13" s="31" t="s">
        <v>53</v>
      </c>
      <c r="S13" s="36" t="s">
        <v>45</v>
      </c>
    </row>
    <row r="14" customFormat="false" ht="15" hidden="false" customHeight="false" outlineLevel="0" collapsed="false">
      <c r="A14" s="13" t="s">
        <v>61</v>
      </c>
      <c r="B14" s="14" t="s">
        <v>62</v>
      </c>
      <c r="C14" s="32" t="s">
        <v>63</v>
      </c>
      <c r="D14" s="33" t="s">
        <v>39</v>
      </c>
      <c r="E14" s="17" t="s">
        <v>29</v>
      </c>
      <c r="F14" s="18" t="n">
        <v>100</v>
      </c>
      <c r="G14" s="19" t="n">
        <v>30</v>
      </c>
      <c r="H14" s="20" t="n">
        <v>46057</v>
      </c>
      <c r="I14" s="20" t="n">
        <v>54986</v>
      </c>
      <c r="J14" s="20" t="n">
        <v>45574</v>
      </c>
      <c r="K14" s="20" t="n">
        <v>59308</v>
      </c>
      <c r="L14" s="21" t="n">
        <f aca="false">SUM(H14:K14)</f>
        <v>205925</v>
      </c>
      <c r="M14" s="22" t="n">
        <v>2167</v>
      </c>
      <c r="N14" s="22" t="n">
        <v>2663</v>
      </c>
      <c r="O14" s="22" t="n">
        <v>2396</v>
      </c>
      <c r="P14" s="22" t="n">
        <v>2926</v>
      </c>
      <c r="Q14" s="23" t="n">
        <f aca="false">SUM(M14:P14)</f>
        <v>10152</v>
      </c>
      <c r="R14" s="39" t="s">
        <v>35</v>
      </c>
      <c r="S14" s="25" t="s">
        <v>31</v>
      </c>
    </row>
    <row r="15" customFormat="false" ht="15" hidden="false" customHeight="false" outlineLevel="0" collapsed="false">
      <c r="A15" s="13" t="s">
        <v>64</v>
      </c>
      <c r="B15" s="26" t="s">
        <v>65</v>
      </c>
      <c r="C15" s="32" t="s">
        <v>66</v>
      </c>
      <c r="D15" s="33" t="s">
        <v>39</v>
      </c>
      <c r="E15" s="17" t="s">
        <v>29</v>
      </c>
      <c r="F15" s="27" t="n">
        <v>100</v>
      </c>
      <c r="G15" s="28" t="n">
        <v>64</v>
      </c>
      <c r="H15" s="29" t="n">
        <v>82830</v>
      </c>
      <c r="I15" s="29" t="n">
        <v>82496</v>
      </c>
      <c r="J15" s="29" t="n">
        <v>77867</v>
      </c>
      <c r="K15" s="29" t="n">
        <v>79712</v>
      </c>
      <c r="L15" s="21" t="n">
        <f aca="false">SUM(H15:K15)</f>
        <v>322905</v>
      </c>
      <c r="M15" s="30" t="n">
        <v>4618</v>
      </c>
      <c r="N15" s="30" t="n">
        <v>4850</v>
      </c>
      <c r="O15" s="30" t="n">
        <v>4808</v>
      </c>
      <c r="P15" s="30" t="n">
        <v>4326</v>
      </c>
      <c r="Q15" s="23" t="n">
        <f aca="false">SUM(M15:P15)</f>
        <v>18602</v>
      </c>
      <c r="R15" s="31" t="s">
        <v>44</v>
      </c>
      <c r="S15" s="25" t="s">
        <v>31</v>
      </c>
    </row>
    <row r="16" customFormat="false" ht="15" hidden="false" customHeight="false" outlineLevel="0" collapsed="false">
      <c r="A16" s="13" t="s">
        <v>67</v>
      </c>
      <c r="B16" s="14" t="s">
        <v>68</v>
      </c>
      <c r="C16" s="40" t="s">
        <v>69</v>
      </c>
      <c r="D16" s="41" t="s">
        <v>70</v>
      </c>
      <c r="E16" s="17" t="s">
        <v>29</v>
      </c>
      <c r="F16" s="18" t="n">
        <v>100</v>
      </c>
      <c r="G16" s="19" t="n">
        <v>42</v>
      </c>
      <c r="H16" s="20" t="n">
        <v>33086</v>
      </c>
      <c r="I16" s="20" t="n">
        <v>35442</v>
      </c>
      <c r="J16" s="20" t="n">
        <v>31051</v>
      </c>
      <c r="K16" s="20" t="n">
        <v>35864</v>
      </c>
      <c r="L16" s="21" t="n">
        <f aca="false">SUM(H16:K16)</f>
        <v>135443</v>
      </c>
      <c r="M16" s="22" t="n">
        <v>1467</v>
      </c>
      <c r="N16" s="22" t="n">
        <v>1914</v>
      </c>
      <c r="O16" s="22" t="n">
        <v>1586</v>
      </c>
      <c r="P16" s="22" t="n">
        <v>1790</v>
      </c>
      <c r="Q16" s="23" t="n">
        <f aca="false">SUM(M16:P16)</f>
        <v>6757</v>
      </c>
      <c r="R16" s="39" t="s">
        <v>44</v>
      </c>
      <c r="S16" s="25" t="s">
        <v>31</v>
      </c>
    </row>
    <row r="17" customFormat="false" ht="15" hidden="false" customHeight="false" outlineLevel="0" collapsed="false">
      <c r="A17" s="13" t="s">
        <v>71</v>
      </c>
      <c r="B17" s="26" t="s">
        <v>72</v>
      </c>
      <c r="C17" s="15" t="s">
        <v>73</v>
      </c>
      <c r="D17" s="16" t="s">
        <v>28</v>
      </c>
      <c r="E17" s="17" t="s">
        <v>29</v>
      </c>
      <c r="F17" s="27" t="n">
        <v>100</v>
      </c>
      <c r="G17" s="28" t="n">
        <v>46</v>
      </c>
      <c r="H17" s="29" t="n">
        <v>88187</v>
      </c>
      <c r="I17" s="29" t="n">
        <v>89465</v>
      </c>
      <c r="J17" s="29" t="n">
        <v>96371</v>
      </c>
      <c r="K17" s="29" t="n">
        <v>103966</v>
      </c>
      <c r="L17" s="21" t="n">
        <f aca="false">SUM(H17:K17)</f>
        <v>377989</v>
      </c>
      <c r="M17" s="30" t="n">
        <v>7300</v>
      </c>
      <c r="N17" s="30" t="n">
        <v>5604</v>
      </c>
      <c r="O17" s="30" t="n">
        <v>6987</v>
      </c>
      <c r="P17" s="30" t="n">
        <v>8009</v>
      </c>
      <c r="Q17" s="23" t="n">
        <f aca="false">SUM(M17:P17)</f>
        <v>27900</v>
      </c>
      <c r="R17" s="31" t="s">
        <v>35</v>
      </c>
      <c r="S17" s="25" t="s">
        <v>31</v>
      </c>
    </row>
    <row r="18" customFormat="false" ht="15" hidden="false" customHeight="false" outlineLevel="0" collapsed="false">
      <c r="A18" s="13" t="s">
        <v>74</v>
      </c>
      <c r="B18" s="14" t="s">
        <v>75</v>
      </c>
      <c r="C18" s="37" t="s">
        <v>76</v>
      </c>
      <c r="D18" s="38" t="s">
        <v>49</v>
      </c>
      <c r="E18" s="17" t="s">
        <v>29</v>
      </c>
      <c r="F18" s="18" t="n">
        <v>19.9</v>
      </c>
      <c r="G18" s="19" t="n">
        <v>20</v>
      </c>
      <c r="H18" s="20" t="n">
        <v>57206</v>
      </c>
      <c r="I18" s="20" t="n">
        <v>56271</v>
      </c>
      <c r="J18" s="20" t="n">
        <v>56894</v>
      </c>
      <c r="K18" s="20" t="n">
        <v>59353</v>
      </c>
      <c r="L18" s="21" t="n">
        <f aca="false">SUM(H18:K18)</f>
        <v>229724</v>
      </c>
      <c r="M18" s="22" t="n">
        <v>3599</v>
      </c>
      <c r="N18" s="22" t="n">
        <v>3297</v>
      </c>
      <c r="O18" s="22" t="n">
        <v>3853</v>
      </c>
      <c r="P18" s="22" t="n">
        <v>3834</v>
      </c>
      <c r="Q18" s="23" t="n">
        <f aca="false">SUM(M18:P18)</f>
        <v>14583</v>
      </c>
      <c r="R18" s="39" t="s">
        <v>77</v>
      </c>
      <c r="S18" s="25" t="s">
        <v>31</v>
      </c>
    </row>
    <row r="19" customFormat="false" ht="15" hidden="false" customHeight="false" outlineLevel="0" collapsed="false">
      <c r="A19" s="13" t="s">
        <v>78</v>
      </c>
      <c r="B19" s="26" t="s">
        <v>79</v>
      </c>
      <c r="C19" s="15" t="s">
        <v>80</v>
      </c>
      <c r="D19" s="16" t="s">
        <v>28</v>
      </c>
      <c r="E19" s="17" t="s">
        <v>29</v>
      </c>
      <c r="F19" s="27" t="n">
        <v>100</v>
      </c>
      <c r="G19" s="28" t="n">
        <v>26</v>
      </c>
      <c r="H19" s="29" t="n">
        <v>80139</v>
      </c>
      <c r="I19" s="29" t="n">
        <v>98989</v>
      </c>
      <c r="J19" s="29" t="n">
        <v>90816</v>
      </c>
      <c r="K19" s="29" t="n">
        <v>98797</v>
      </c>
      <c r="L19" s="21" t="n">
        <f aca="false">SUM(H19:K19)</f>
        <v>368741</v>
      </c>
      <c r="M19" s="30" t="n">
        <v>4484</v>
      </c>
      <c r="N19" s="30" t="n">
        <v>6752</v>
      </c>
      <c r="O19" s="30" t="n">
        <v>5434</v>
      </c>
      <c r="P19" s="30" t="n">
        <v>7198</v>
      </c>
      <c r="Q19" s="23" t="n">
        <f aca="false">SUM(M19:P19)</f>
        <v>23868</v>
      </c>
      <c r="R19" s="31" t="s">
        <v>77</v>
      </c>
      <c r="S19" s="25" t="s">
        <v>31</v>
      </c>
    </row>
    <row r="20" customFormat="false" ht="15" hidden="false" customHeight="false" outlineLevel="0" collapsed="false">
      <c r="A20" s="13" t="s">
        <v>81</v>
      </c>
      <c r="B20" s="14" t="s">
        <v>82</v>
      </c>
      <c r="C20" s="15" t="s">
        <v>83</v>
      </c>
      <c r="D20" s="16" t="s">
        <v>28</v>
      </c>
      <c r="E20" s="17" t="s">
        <v>29</v>
      </c>
      <c r="F20" s="18" t="n">
        <v>100</v>
      </c>
      <c r="G20" s="19" t="n">
        <v>38</v>
      </c>
      <c r="H20" s="20" t="n">
        <v>52046</v>
      </c>
      <c r="I20" s="20" t="n">
        <v>52574</v>
      </c>
      <c r="J20" s="20" t="n">
        <v>50866</v>
      </c>
      <c r="K20" s="20" t="n">
        <v>57776</v>
      </c>
      <c r="L20" s="21" t="n">
        <f aca="false">SUM(H20:K20)</f>
        <v>213262</v>
      </c>
      <c r="M20" s="22" t="n">
        <v>2751</v>
      </c>
      <c r="N20" s="22" t="n">
        <v>3015</v>
      </c>
      <c r="O20" s="22" t="n">
        <v>2622</v>
      </c>
      <c r="P20" s="22" t="n">
        <v>3026</v>
      </c>
      <c r="Q20" s="23" t="n">
        <f aca="false">SUM(M20:P20)</f>
        <v>11414</v>
      </c>
      <c r="R20" s="24" t="s">
        <v>30</v>
      </c>
      <c r="S20" s="42" t="s">
        <v>84</v>
      </c>
    </row>
    <row r="21" customFormat="false" ht="15" hidden="false" customHeight="false" outlineLevel="0" collapsed="false">
      <c r="A21" s="13" t="s">
        <v>85</v>
      </c>
      <c r="B21" s="26" t="s">
        <v>86</v>
      </c>
      <c r="C21" s="15" t="s">
        <v>87</v>
      </c>
      <c r="D21" s="16" t="s">
        <v>28</v>
      </c>
      <c r="E21" s="17" t="s">
        <v>29</v>
      </c>
      <c r="F21" s="27" t="n">
        <v>100</v>
      </c>
      <c r="G21" s="28" t="n">
        <v>60</v>
      </c>
      <c r="H21" s="29" t="n">
        <v>60393</v>
      </c>
      <c r="I21" s="29" t="n">
        <v>61550</v>
      </c>
      <c r="J21" s="29" t="n">
        <v>55118</v>
      </c>
      <c r="K21" s="29" t="n">
        <v>63945</v>
      </c>
      <c r="L21" s="21" t="n">
        <f aca="false">SUM(H21:K21)</f>
        <v>241006</v>
      </c>
      <c r="M21" s="30" t="n">
        <v>2393</v>
      </c>
      <c r="N21" s="30" t="n">
        <v>2740</v>
      </c>
      <c r="O21" s="30" t="n">
        <v>2361</v>
      </c>
      <c r="P21" s="30" t="n">
        <v>2925</v>
      </c>
      <c r="Q21" s="23" t="n">
        <f aca="false">SUM(M21:P21)</f>
        <v>10419</v>
      </c>
      <c r="R21" s="31" t="s">
        <v>57</v>
      </c>
      <c r="S21" s="25" t="s">
        <v>31</v>
      </c>
    </row>
    <row r="22" customFormat="false" ht="15" hidden="false" customHeight="false" outlineLevel="0" collapsed="false">
      <c r="A22" s="13" t="s">
        <v>88</v>
      </c>
      <c r="B22" s="14" t="s">
        <v>89</v>
      </c>
      <c r="C22" s="15" t="s">
        <v>90</v>
      </c>
      <c r="D22" s="16" t="s">
        <v>28</v>
      </c>
      <c r="E22" s="17" t="s">
        <v>29</v>
      </c>
      <c r="F22" s="18" t="n">
        <v>60</v>
      </c>
      <c r="G22" s="19" t="n">
        <v>35</v>
      </c>
      <c r="H22" s="20" t="n">
        <v>34653</v>
      </c>
      <c r="I22" s="20" t="n">
        <v>36719</v>
      </c>
      <c r="J22" s="20" t="n">
        <v>34488</v>
      </c>
      <c r="K22" s="20" t="n">
        <v>35685</v>
      </c>
      <c r="L22" s="21" t="n">
        <f aca="false">SUM(H22:K22)</f>
        <v>141545</v>
      </c>
      <c r="M22" s="22" t="n">
        <v>2342</v>
      </c>
      <c r="N22" s="22" t="n">
        <v>2490</v>
      </c>
      <c r="O22" s="22" t="n">
        <v>2096</v>
      </c>
      <c r="P22" s="22" t="n">
        <v>2226</v>
      </c>
      <c r="Q22" s="23" t="n">
        <f aca="false">SUM(M22:P22)</f>
        <v>9154</v>
      </c>
      <c r="R22" s="39" t="s">
        <v>77</v>
      </c>
      <c r="S22" s="42" t="s">
        <v>84</v>
      </c>
    </row>
    <row r="23" customFormat="false" ht="15" hidden="false" customHeight="false" outlineLevel="0" collapsed="false">
      <c r="A23" s="13" t="s">
        <v>91</v>
      </c>
      <c r="B23" s="26" t="s">
        <v>92</v>
      </c>
      <c r="C23" s="15" t="s">
        <v>93</v>
      </c>
      <c r="D23" s="16" t="s">
        <v>28</v>
      </c>
      <c r="E23" s="17" t="s">
        <v>29</v>
      </c>
      <c r="F23" s="27" t="n">
        <v>100</v>
      </c>
      <c r="G23" s="28" t="n">
        <v>22</v>
      </c>
      <c r="H23" s="29" t="n">
        <v>29616</v>
      </c>
      <c r="I23" s="29" t="n">
        <v>29915</v>
      </c>
      <c r="J23" s="29" t="n">
        <v>27316</v>
      </c>
      <c r="K23" s="29" t="n">
        <v>32802</v>
      </c>
      <c r="L23" s="21" t="n">
        <f aca="false">SUM(H23:K23)</f>
        <v>119649</v>
      </c>
      <c r="M23" s="30" t="n">
        <v>2135</v>
      </c>
      <c r="N23" s="30" t="n">
        <v>1822</v>
      </c>
      <c r="O23" s="30" t="n">
        <v>1781</v>
      </c>
      <c r="P23" s="30" t="n">
        <v>2325</v>
      </c>
      <c r="Q23" s="23" t="n">
        <f aca="false">SUM(M23:P23)</f>
        <v>8063</v>
      </c>
      <c r="R23" s="31" t="s">
        <v>94</v>
      </c>
      <c r="S23" s="25" t="s">
        <v>31</v>
      </c>
    </row>
    <row r="24" customFormat="false" ht="15" hidden="false" customHeight="false" outlineLevel="0" collapsed="false">
      <c r="A24" s="13" t="s">
        <v>95</v>
      </c>
      <c r="B24" s="14" t="s">
        <v>96</v>
      </c>
      <c r="C24" s="15" t="s">
        <v>97</v>
      </c>
      <c r="D24" s="16" t="s">
        <v>28</v>
      </c>
      <c r="E24" s="17" t="s">
        <v>29</v>
      </c>
      <c r="F24" s="18" t="n">
        <v>100</v>
      </c>
      <c r="G24" s="19" t="n">
        <v>53</v>
      </c>
      <c r="H24" s="20" t="n">
        <v>37075</v>
      </c>
      <c r="I24" s="20" t="n">
        <v>46141</v>
      </c>
      <c r="J24" s="20" t="n">
        <v>44560</v>
      </c>
      <c r="K24" s="20" t="n">
        <v>44157</v>
      </c>
      <c r="L24" s="21" t="n">
        <f aca="false">SUM(H24:K24)</f>
        <v>171933</v>
      </c>
      <c r="M24" s="22" t="n">
        <v>2377</v>
      </c>
      <c r="N24" s="22" t="n">
        <v>3141</v>
      </c>
      <c r="O24" s="22" t="n">
        <v>3107</v>
      </c>
      <c r="P24" s="22" t="n">
        <v>2868</v>
      </c>
      <c r="Q24" s="23" t="n">
        <f aca="false">SUM(M24:P24)</f>
        <v>11493</v>
      </c>
      <c r="R24" s="39" t="s">
        <v>94</v>
      </c>
      <c r="S24" s="42" t="s">
        <v>84</v>
      </c>
    </row>
    <row r="25" customFormat="false" ht="15" hidden="false" customHeight="false" outlineLevel="0" collapsed="false">
      <c r="A25" s="13" t="s">
        <v>98</v>
      </c>
      <c r="B25" s="26" t="s">
        <v>99</v>
      </c>
      <c r="C25" s="34" t="s">
        <v>100</v>
      </c>
      <c r="D25" s="35" t="s">
        <v>43</v>
      </c>
      <c r="E25" s="17" t="s">
        <v>29</v>
      </c>
      <c r="F25" s="27" t="n">
        <v>100</v>
      </c>
      <c r="G25" s="28" t="n">
        <v>41</v>
      </c>
      <c r="H25" s="29" t="n">
        <v>56532</v>
      </c>
      <c r="I25" s="29" t="n">
        <v>60420</v>
      </c>
      <c r="J25" s="29" t="n">
        <v>49921</v>
      </c>
      <c r="K25" s="29" t="n">
        <v>60789</v>
      </c>
      <c r="L25" s="21" t="n">
        <f aca="false">SUM(H25:K25)</f>
        <v>227662</v>
      </c>
      <c r="M25" s="30" t="n">
        <v>3675</v>
      </c>
      <c r="N25" s="30" t="n">
        <v>3735</v>
      </c>
      <c r="O25" s="30" t="n">
        <v>3323</v>
      </c>
      <c r="P25" s="30" t="n">
        <v>3405</v>
      </c>
      <c r="Q25" s="23" t="n">
        <f aca="false">SUM(M25:P25)</f>
        <v>14138</v>
      </c>
      <c r="R25" s="31" t="s">
        <v>53</v>
      </c>
      <c r="S25" s="42" t="s">
        <v>84</v>
      </c>
    </row>
    <row r="26" customFormat="false" ht="15" hidden="false" customHeight="false" outlineLevel="0" collapsed="false">
      <c r="A26" s="13" t="s">
        <v>101</v>
      </c>
      <c r="B26" s="14" t="s">
        <v>102</v>
      </c>
      <c r="C26" s="37" t="s">
        <v>103</v>
      </c>
      <c r="D26" s="38" t="s">
        <v>49</v>
      </c>
      <c r="E26" s="17" t="s">
        <v>29</v>
      </c>
      <c r="F26" s="18" t="n">
        <v>100</v>
      </c>
      <c r="G26" s="19" t="n">
        <v>67</v>
      </c>
      <c r="H26" s="20" t="n">
        <v>86782</v>
      </c>
      <c r="I26" s="20" t="n">
        <v>98313</v>
      </c>
      <c r="J26" s="20" t="n">
        <v>88249</v>
      </c>
      <c r="K26" s="20" t="n">
        <v>91660</v>
      </c>
      <c r="L26" s="21" t="n">
        <f aca="false">SUM(H26:K26)</f>
        <v>365004</v>
      </c>
      <c r="M26" s="22" t="n">
        <v>5354</v>
      </c>
      <c r="N26" s="22" t="n">
        <v>7364</v>
      </c>
      <c r="O26" s="22" t="n">
        <v>6334</v>
      </c>
      <c r="P26" s="22" t="n">
        <v>5352</v>
      </c>
      <c r="Q26" s="23" t="n">
        <f aca="false">SUM(M26:P26)</f>
        <v>24404</v>
      </c>
      <c r="R26" s="39" t="s">
        <v>94</v>
      </c>
      <c r="S26" s="25" t="s">
        <v>31</v>
      </c>
    </row>
    <row r="27" customFormat="false" ht="15" hidden="false" customHeight="false" outlineLevel="0" collapsed="false">
      <c r="A27" s="13" t="s">
        <v>104</v>
      </c>
      <c r="B27" s="26" t="s">
        <v>105</v>
      </c>
      <c r="C27" s="37" t="s">
        <v>106</v>
      </c>
      <c r="D27" s="38" t="s">
        <v>49</v>
      </c>
      <c r="E27" s="17" t="s">
        <v>29</v>
      </c>
      <c r="F27" s="27" t="n">
        <v>100</v>
      </c>
      <c r="G27" s="28" t="n">
        <v>59</v>
      </c>
      <c r="H27" s="29" t="n">
        <v>26992</v>
      </c>
      <c r="I27" s="29" t="n">
        <v>24982</v>
      </c>
      <c r="J27" s="29" t="n">
        <v>22453</v>
      </c>
      <c r="K27" s="29" t="n">
        <v>30218</v>
      </c>
      <c r="L27" s="21" t="n">
        <f aca="false">SUM(H27:K27)</f>
        <v>104645</v>
      </c>
      <c r="M27" s="30" t="n">
        <v>1193</v>
      </c>
      <c r="N27" s="30" t="n">
        <v>1072</v>
      </c>
      <c r="O27" s="30" t="n">
        <v>1127</v>
      </c>
      <c r="P27" s="30" t="n">
        <v>1550</v>
      </c>
      <c r="Q27" s="23" t="n">
        <f aca="false">SUM(M27:P27)</f>
        <v>4942</v>
      </c>
      <c r="R27" s="31" t="s">
        <v>57</v>
      </c>
      <c r="S27" s="25" t="s">
        <v>31</v>
      </c>
    </row>
    <row r="28" customFormat="false" ht="15" hidden="false" customHeight="false" outlineLevel="0" collapsed="false">
      <c r="A28" s="13" t="s">
        <v>107</v>
      </c>
      <c r="B28" s="14" t="s">
        <v>108</v>
      </c>
      <c r="C28" s="37" t="s">
        <v>109</v>
      </c>
      <c r="D28" s="38" t="s">
        <v>49</v>
      </c>
      <c r="E28" s="17" t="s">
        <v>29</v>
      </c>
      <c r="F28" s="18" t="n">
        <v>100</v>
      </c>
      <c r="G28" s="19" t="n">
        <v>53</v>
      </c>
      <c r="H28" s="20" t="n">
        <v>31538</v>
      </c>
      <c r="I28" s="20" t="n">
        <v>33415</v>
      </c>
      <c r="J28" s="20" t="n">
        <v>33905</v>
      </c>
      <c r="K28" s="20" t="n">
        <v>37088</v>
      </c>
      <c r="L28" s="21" t="n">
        <f aca="false">SUM(H28:K28)</f>
        <v>135946</v>
      </c>
      <c r="M28" s="22" t="n">
        <v>1947</v>
      </c>
      <c r="N28" s="22" t="n">
        <v>1957</v>
      </c>
      <c r="O28" s="22" t="n">
        <v>2464</v>
      </c>
      <c r="P28" s="22" t="n">
        <v>2562</v>
      </c>
      <c r="Q28" s="23" t="n">
        <f aca="false">SUM(M28:P28)</f>
        <v>8930</v>
      </c>
      <c r="R28" s="39" t="s">
        <v>53</v>
      </c>
      <c r="S28" s="25" t="s">
        <v>31</v>
      </c>
    </row>
    <row r="29" customFormat="false" ht="15" hidden="false" customHeight="false" outlineLevel="0" collapsed="false">
      <c r="A29" s="13" t="s">
        <v>110</v>
      </c>
      <c r="B29" s="26" t="s">
        <v>111</v>
      </c>
      <c r="C29" s="37" t="s">
        <v>112</v>
      </c>
      <c r="D29" s="38" t="s">
        <v>49</v>
      </c>
      <c r="E29" s="17" t="s">
        <v>29</v>
      </c>
      <c r="F29" s="27" t="n">
        <v>100</v>
      </c>
      <c r="G29" s="28" t="n">
        <v>70</v>
      </c>
      <c r="H29" s="29" t="n">
        <v>35344</v>
      </c>
      <c r="I29" s="29" t="n">
        <v>41877</v>
      </c>
      <c r="J29" s="29" t="n">
        <v>38555</v>
      </c>
      <c r="K29" s="29" t="n">
        <v>47683</v>
      </c>
      <c r="L29" s="21" t="n">
        <f aca="false">SUM(H29:K29)</f>
        <v>163459</v>
      </c>
      <c r="M29" s="30" t="n">
        <v>1803</v>
      </c>
      <c r="N29" s="30" t="n">
        <v>1805</v>
      </c>
      <c r="O29" s="30" t="n">
        <v>1713</v>
      </c>
      <c r="P29" s="30" t="n">
        <v>2019</v>
      </c>
      <c r="Q29" s="23" t="n">
        <f aca="false">SUM(M29:P29)</f>
        <v>7340</v>
      </c>
      <c r="R29" s="31" t="s">
        <v>53</v>
      </c>
      <c r="S29" s="42" t="s">
        <v>84</v>
      </c>
    </row>
    <row r="30" customFormat="false" ht="15" hidden="false" customHeight="false" outlineLevel="0" collapsed="false">
      <c r="A30" s="13" t="s">
        <v>113</v>
      </c>
      <c r="B30" s="14" t="s">
        <v>114</v>
      </c>
      <c r="C30" s="40" t="s">
        <v>115</v>
      </c>
      <c r="D30" s="41" t="s">
        <v>70</v>
      </c>
      <c r="E30" s="17" t="s">
        <v>29</v>
      </c>
      <c r="F30" s="18" t="n">
        <v>100</v>
      </c>
      <c r="G30" s="19" t="n">
        <v>65</v>
      </c>
      <c r="H30" s="20" t="n">
        <v>62572</v>
      </c>
      <c r="I30" s="20" t="n">
        <v>58946</v>
      </c>
      <c r="J30" s="20" t="n">
        <v>63759</v>
      </c>
      <c r="K30" s="20" t="n">
        <v>68470</v>
      </c>
      <c r="L30" s="21" t="n">
        <f aca="false">SUM(H30:K30)</f>
        <v>253747</v>
      </c>
      <c r="M30" s="22" t="n">
        <v>2838</v>
      </c>
      <c r="N30" s="22" t="n">
        <v>2824</v>
      </c>
      <c r="O30" s="22" t="n">
        <v>3342</v>
      </c>
      <c r="P30" s="22" t="n">
        <v>3204</v>
      </c>
      <c r="Q30" s="23" t="n">
        <f aca="false">SUM(M30:P30)</f>
        <v>12208</v>
      </c>
      <c r="R30" s="39" t="s">
        <v>94</v>
      </c>
      <c r="S30" s="25" t="s">
        <v>31</v>
      </c>
    </row>
    <row r="31" customFormat="false" ht="15" hidden="false" customHeight="false" outlineLevel="0" collapsed="false">
      <c r="A31" s="13" t="s">
        <v>116</v>
      </c>
      <c r="B31" s="26" t="s">
        <v>117</v>
      </c>
      <c r="C31" s="40" t="s">
        <v>118</v>
      </c>
      <c r="D31" s="41" t="s">
        <v>70</v>
      </c>
      <c r="E31" s="17" t="s">
        <v>29</v>
      </c>
      <c r="F31" s="27" t="n">
        <v>100</v>
      </c>
      <c r="G31" s="28" t="n">
        <v>30</v>
      </c>
      <c r="H31" s="29" t="n">
        <v>42163</v>
      </c>
      <c r="I31" s="29" t="n">
        <v>40920</v>
      </c>
      <c r="J31" s="29" t="n">
        <v>37099</v>
      </c>
      <c r="K31" s="29" t="n">
        <v>43212</v>
      </c>
      <c r="L31" s="21" t="n">
        <f aca="false">SUM(H31:K31)</f>
        <v>163394</v>
      </c>
      <c r="M31" s="30" t="n">
        <v>2742</v>
      </c>
      <c r="N31" s="30" t="n">
        <v>2602</v>
      </c>
      <c r="O31" s="30" t="n">
        <v>2584</v>
      </c>
      <c r="P31" s="30" t="n">
        <v>2837</v>
      </c>
      <c r="Q31" s="23" t="n">
        <f aca="false">SUM(M31:P31)</f>
        <v>10765</v>
      </c>
      <c r="R31" s="31" t="s">
        <v>119</v>
      </c>
      <c r="S31" s="25" t="s">
        <v>31</v>
      </c>
    </row>
    <row r="32" customFormat="false" ht="15" hidden="false" customHeight="false" outlineLevel="0" collapsed="false">
      <c r="A32" s="13" t="s">
        <v>120</v>
      </c>
      <c r="B32" s="14" t="s">
        <v>121</v>
      </c>
      <c r="C32" s="43" t="s">
        <v>122</v>
      </c>
      <c r="D32" s="44" t="s">
        <v>123</v>
      </c>
      <c r="E32" s="17" t="s">
        <v>29</v>
      </c>
      <c r="F32" s="18" t="n">
        <v>100</v>
      </c>
      <c r="G32" s="19" t="n">
        <v>26</v>
      </c>
      <c r="H32" s="20" t="n">
        <v>93561</v>
      </c>
      <c r="I32" s="20" t="n">
        <v>95319</v>
      </c>
      <c r="J32" s="20" t="n">
        <v>91543</v>
      </c>
      <c r="K32" s="20" t="n">
        <v>99714</v>
      </c>
      <c r="L32" s="21" t="n">
        <f aca="false">SUM(H32:K32)</f>
        <v>380137</v>
      </c>
      <c r="M32" s="22" t="n">
        <v>6711</v>
      </c>
      <c r="N32" s="22" t="n">
        <v>5745</v>
      </c>
      <c r="O32" s="22" t="n">
        <v>6063</v>
      </c>
      <c r="P32" s="22" t="n">
        <v>7342</v>
      </c>
      <c r="Q32" s="23" t="n">
        <f aca="false">SUM(M32:P32)</f>
        <v>25861</v>
      </c>
      <c r="R32" s="39" t="s">
        <v>57</v>
      </c>
      <c r="S32" s="36" t="s">
        <v>45</v>
      </c>
    </row>
    <row r="33" customFormat="false" ht="15" hidden="false" customHeight="false" outlineLevel="0" collapsed="false">
      <c r="A33" s="13" t="s">
        <v>124</v>
      </c>
      <c r="B33" s="26" t="s">
        <v>125</v>
      </c>
      <c r="C33" s="43" t="s">
        <v>126</v>
      </c>
      <c r="D33" s="44" t="s">
        <v>123</v>
      </c>
      <c r="E33" s="17" t="s">
        <v>29</v>
      </c>
      <c r="F33" s="27" t="n">
        <v>100</v>
      </c>
      <c r="G33" s="28" t="n">
        <v>24</v>
      </c>
      <c r="H33" s="29" t="n">
        <v>85910</v>
      </c>
      <c r="I33" s="29" t="n">
        <v>85063</v>
      </c>
      <c r="J33" s="29" t="n">
        <v>74935</v>
      </c>
      <c r="K33" s="29" t="n">
        <v>90929</v>
      </c>
      <c r="L33" s="21" t="n">
        <f aca="false">SUM(H33:K33)</f>
        <v>336837</v>
      </c>
      <c r="M33" s="30" t="n">
        <v>5997</v>
      </c>
      <c r="N33" s="30" t="n">
        <v>5690</v>
      </c>
      <c r="O33" s="30" t="n">
        <v>4806</v>
      </c>
      <c r="P33" s="30" t="n">
        <v>6338</v>
      </c>
      <c r="Q33" s="23" t="n">
        <f aca="false">SUM(M33:P33)</f>
        <v>22831</v>
      </c>
      <c r="R33" s="31" t="s">
        <v>77</v>
      </c>
      <c r="S33" s="36" t="s">
        <v>45</v>
      </c>
    </row>
    <row r="34" customFormat="false" ht="15" hidden="false" customHeight="false" outlineLevel="0" collapsed="false">
      <c r="A34" s="13" t="s">
        <v>127</v>
      </c>
      <c r="B34" s="14" t="s">
        <v>128</v>
      </c>
      <c r="C34" s="45" t="s">
        <v>129</v>
      </c>
      <c r="D34" s="46" t="s">
        <v>130</v>
      </c>
      <c r="E34" s="17" t="s">
        <v>29</v>
      </c>
      <c r="F34" s="18" t="n">
        <v>100</v>
      </c>
      <c r="G34" s="19" t="n">
        <v>30</v>
      </c>
      <c r="H34" s="20" t="n">
        <v>44302</v>
      </c>
      <c r="I34" s="20" t="n">
        <v>45935</v>
      </c>
      <c r="J34" s="20" t="n">
        <v>47450</v>
      </c>
      <c r="K34" s="20" t="n">
        <v>55001</v>
      </c>
      <c r="L34" s="21" t="n">
        <f aca="false">SUM(H34:K34)</f>
        <v>192688</v>
      </c>
      <c r="M34" s="22" t="n">
        <v>2071</v>
      </c>
      <c r="N34" s="22" t="n">
        <v>2318</v>
      </c>
      <c r="O34" s="22" t="n">
        <v>2264</v>
      </c>
      <c r="P34" s="22" t="n">
        <v>3131</v>
      </c>
      <c r="Q34" s="23" t="n">
        <f aca="false">SUM(M34:P34)</f>
        <v>9784</v>
      </c>
      <c r="R34" s="24" t="s">
        <v>30</v>
      </c>
      <c r="S34" s="36" t="s">
        <v>45</v>
      </c>
    </row>
    <row r="35" customFormat="false" ht="15" hidden="false" customHeight="false" outlineLevel="0" collapsed="false">
      <c r="A35" s="13" t="s">
        <v>131</v>
      </c>
      <c r="B35" s="26" t="s">
        <v>132</v>
      </c>
      <c r="C35" s="45" t="s">
        <v>133</v>
      </c>
      <c r="D35" s="46" t="s">
        <v>130</v>
      </c>
      <c r="E35" s="17" t="s">
        <v>29</v>
      </c>
      <c r="F35" s="27" t="n">
        <v>100</v>
      </c>
      <c r="G35" s="28" t="n">
        <v>25</v>
      </c>
      <c r="H35" s="29" t="n">
        <v>50782</v>
      </c>
      <c r="I35" s="29" t="n">
        <v>53225</v>
      </c>
      <c r="J35" s="29" t="n">
        <v>51809</v>
      </c>
      <c r="K35" s="29" t="n">
        <v>54366</v>
      </c>
      <c r="L35" s="21" t="n">
        <f aca="false">SUM(H35:K35)</f>
        <v>210182</v>
      </c>
      <c r="M35" s="30" t="n">
        <v>2907</v>
      </c>
      <c r="N35" s="30" t="n">
        <v>3350</v>
      </c>
      <c r="O35" s="30" t="n">
        <v>3085</v>
      </c>
      <c r="P35" s="30" t="n">
        <v>3111</v>
      </c>
      <c r="Q35" s="23" t="n">
        <f aca="false">SUM(M35:P35)</f>
        <v>12453</v>
      </c>
      <c r="R35" s="31" t="s">
        <v>57</v>
      </c>
      <c r="S35" s="42" t="s">
        <v>84</v>
      </c>
    </row>
    <row r="36" customFormat="false" ht="15" hidden="false" customHeight="false" outlineLevel="0" collapsed="false">
      <c r="A36" s="13" t="s">
        <v>134</v>
      </c>
      <c r="B36" s="14" t="s">
        <v>135</v>
      </c>
      <c r="C36" s="32" t="s">
        <v>136</v>
      </c>
      <c r="D36" s="33" t="s">
        <v>39</v>
      </c>
      <c r="E36" s="17" t="s">
        <v>29</v>
      </c>
      <c r="F36" s="18" t="n">
        <v>100</v>
      </c>
      <c r="G36" s="19" t="n">
        <v>34</v>
      </c>
      <c r="H36" s="20" t="n">
        <v>26599</v>
      </c>
      <c r="I36" s="20" t="n">
        <v>29558</v>
      </c>
      <c r="J36" s="20" t="n">
        <v>28278</v>
      </c>
      <c r="K36" s="20" t="n">
        <v>29685</v>
      </c>
      <c r="L36" s="21" t="n">
        <f aca="false">SUM(H36:K36)</f>
        <v>114120</v>
      </c>
      <c r="M36" s="22" t="n">
        <v>1214</v>
      </c>
      <c r="N36" s="22" t="n">
        <v>1256</v>
      </c>
      <c r="O36" s="22" t="n">
        <v>1500</v>
      </c>
      <c r="P36" s="22" t="n">
        <v>1247</v>
      </c>
      <c r="Q36" s="23" t="n">
        <f aca="false">SUM(M36:P36)</f>
        <v>5217</v>
      </c>
      <c r="R36" s="39" t="s">
        <v>53</v>
      </c>
      <c r="S36" s="42" t="s">
        <v>84</v>
      </c>
    </row>
    <row r="37" customFormat="false" ht="15" hidden="false" customHeight="false" outlineLevel="0" collapsed="false">
      <c r="A37" s="13" t="s">
        <v>137</v>
      </c>
      <c r="B37" s="26" t="s">
        <v>138</v>
      </c>
      <c r="C37" s="32" t="s">
        <v>139</v>
      </c>
      <c r="D37" s="33" t="s">
        <v>39</v>
      </c>
      <c r="E37" s="17" t="s">
        <v>29</v>
      </c>
      <c r="F37" s="27" t="n">
        <v>100</v>
      </c>
      <c r="G37" s="28" t="n">
        <v>23</v>
      </c>
      <c r="H37" s="29" t="n">
        <v>51534</v>
      </c>
      <c r="I37" s="29" t="n">
        <v>47528</v>
      </c>
      <c r="J37" s="29" t="n">
        <v>47743</v>
      </c>
      <c r="K37" s="29" t="n">
        <v>56573</v>
      </c>
      <c r="L37" s="21" t="n">
        <f aca="false">SUM(H37:K37)</f>
        <v>203378</v>
      </c>
      <c r="M37" s="30" t="n">
        <v>3331</v>
      </c>
      <c r="N37" s="30" t="n">
        <v>3193</v>
      </c>
      <c r="O37" s="30" t="n">
        <v>2735</v>
      </c>
      <c r="P37" s="30" t="n">
        <v>4016</v>
      </c>
      <c r="Q37" s="23" t="n">
        <f aca="false">SUM(M37:P37)</f>
        <v>13275</v>
      </c>
      <c r="R37" s="31" t="s">
        <v>53</v>
      </c>
      <c r="S37" s="25" t="s">
        <v>31</v>
      </c>
    </row>
    <row r="38" customFormat="false" ht="15" hidden="false" customHeight="false" outlineLevel="0" collapsed="false">
      <c r="A38" s="13" t="s">
        <v>140</v>
      </c>
      <c r="B38" s="14" t="s">
        <v>141</v>
      </c>
      <c r="C38" s="32" t="s">
        <v>142</v>
      </c>
      <c r="D38" s="33" t="s">
        <v>39</v>
      </c>
      <c r="E38" s="17" t="s">
        <v>29</v>
      </c>
      <c r="F38" s="18" t="n">
        <v>100</v>
      </c>
      <c r="G38" s="19" t="n">
        <v>47</v>
      </c>
      <c r="H38" s="20" t="n">
        <v>64802</v>
      </c>
      <c r="I38" s="20" t="n">
        <v>72997</v>
      </c>
      <c r="J38" s="20" t="n">
        <v>70380</v>
      </c>
      <c r="K38" s="20" t="n">
        <v>75502</v>
      </c>
      <c r="L38" s="21" t="n">
        <f aca="false">SUM(H38:K38)</f>
        <v>283681</v>
      </c>
      <c r="M38" s="22" t="n">
        <v>4881</v>
      </c>
      <c r="N38" s="22" t="n">
        <v>5240</v>
      </c>
      <c r="O38" s="22" t="n">
        <v>4780</v>
      </c>
      <c r="P38" s="22" t="n">
        <v>4937</v>
      </c>
      <c r="Q38" s="23" t="n">
        <f aca="false">SUM(M38:P38)</f>
        <v>19838</v>
      </c>
      <c r="R38" s="39" t="s">
        <v>94</v>
      </c>
      <c r="S38" s="25" t="s">
        <v>31</v>
      </c>
    </row>
    <row r="39" customFormat="false" ht="15" hidden="false" customHeight="false" outlineLevel="0" collapsed="false">
      <c r="A39" s="13" t="s">
        <v>143</v>
      </c>
      <c r="B39" s="26" t="s">
        <v>144</v>
      </c>
      <c r="C39" s="15" t="s">
        <v>145</v>
      </c>
      <c r="D39" s="16" t="s">
        <v>28</v>
      </c>
      <c r="E39" s="47" t="s">
        <v>146</v>
      </c>
      <c r="F39" s="27" t="n">
        <v>85</v>
      </c>
      <c r="G39" s="28" t="n">
        <v>158</v>
      </c>
      <c r="H39" s="29" t="n">
        <v>33292</v>
      </c>
      <c r="I39" s="29" t="n">
        <v>33548</v>
      </c>
      <c r="J39" s="29" t="n">
        <v>29355</v>
      </c>
      <c r="K39" s="29" t="n">
        <v>34629</v>
      </c>
      <c r="L39" s="21" t="n">
        <f aca="false">SUM(H39:K39)</f>
        <v>130824</v>
      </c>
      <c r="M39" s="30" t="n">
        <v>1407</v>
      </c>
      <c r="N39" s="30" t="n">
        <v>1297</v>
      </c>
      <c r="O39" s="30" t="n">
        <v>1099</v>
      </c>
      <c r="P39" s="30" t="n">
        <v>1210</v>
      </c>
      <c r="Q39" s="23" t="n">
        <f aca="false">SUM(M39:P39)</f>
        <v>5013</v>
      </c>
      <c r="R39" s="31" t="s">
        <v>147</v>
      </c>
      <c r="S39" s="42" t="s">
        <v>84</v>
      </c>
    </row>
    <row r="40" customFormat="false" ht="15" hidden="false" customHeight="false" outlineLevel="0" collapsed="false">
      <c r="A40" s="13" t="s">
        <v>148</v>
      </c>
      <c r="B40" s="14" t="s">
        <v>149</v>
      </c>
      <c r="C40" s="32" t="s">
        <v>66</v>
      </c>
      <c r="D40" s="33" t="s">
        <v>39</v>
      </c>
      <c r="E40" s="47" t="s">
        <v>146</v>
      </c>
      <c r="F40" s="18" t="n">
        <v>100</v>
      </c>
      <c r="G40" s="19" t="n">
        <v>194</v>
      </c>
      <c r="H40" s="20" t="n">
        <v>25556</v>
      </c>
      <c r="I40" s="20" t="n">
        <v>26545</v>
      </c>
      <c r="J40" s="20" t="n">
        <v>27936</v>
      </c>
      <c r="K40" s="20" t="n">
        <v>28452</v>
      </c>
      <c r="L40" s="21" t="n">
        <f aca="false">SUM(H40:K40)</f>
        <v>108489</v>
      </c>
      <c r="M40" s="22" t="n">
        <v>1071</v>
      </c>
      <c r="N40" s="22" t="n">
        <v>1037</v>
      </c>
      <c r="O40" s="22" t="n">
        <v>1142</v>
      </c>
      <c r="P40" s="22" t="n">
        <v>1088</v>
      </c>
      <c r="Q40" s="23" t="n">
        <f aca="false">SUM(M40:P40)</f>
        <v>4338</v>
      </c>
      <c r="R40" s="39" t="s">
        <v>150</v>
      </c>
      <c r="S40" s="25" t="s">
        <v>31</v>
      </c>
    </row>
    <row r="41" customFormat="false" ht="15" hidden="false" customHeight="false" outlineLevel="0" collapsed="false">
      <c r="A41" s="13" t="s">
        <v>151</v>
      </c>
      <c r="B41" s="26" t="s">
        <v>152</v>
      </c>
      <c r="C41" s="37" t="s">
        <v>48</v>
      </c>
      <c r="D41" s="38" t="s">
        <v>49</v>
      </c>
      <c r="E41" s="47" t="s">
        <v>146</v>
      </c>
      <c r="F41" s="27" t="n">
        <v>100</v>
      </c>
      <c r="G41" s="28" t="n">
        <v>134</v>
      </c>
      <c r="H41" s="29" t="n">
        <v>69510</v>
      </c>
      <c r="I41" s="29" t="n">
        <v>71727</v>
      </c>
      <c r="J41" s="29" t="n">
        <v>70088</v>
      </c>
      <c r="K41" s="29" t="n">
        <v>74211</v>
      </c>
      <c r="L41" s="21" t="n">
        <f aca="false">SUM(H41:K41)</f>
        <v>285536</v>
      </c>
      <c r="M41" s="30" t="n">
        <v>2371</v>
      </c>
      <c r="N41" s="30" t="n">
        <v>2561</v>
      </c>
      <c r="O41" s="30" t="n">
        <v>2486</v>
      </c>
      <c r="P41" s="30" t="n">
        <v>3125</v>
      </c>
      <c r="Q41" s="23" t="n">
        <f aca="false">SUM(M41:P41)</f>
        <v>10543</v>
      </c>
      <c r="R41" s="31" t="s">
        <v>147</v>
      </c>
      <c r="S41" s="36" t="s">
        <v>45</v>
      </c>
    </row>
    <row r="42" customFormat="false" ht="15" hidden="false" customHeight="false" outlineLevel="0" collapsed="false">
      <c r="A42" s="13" t="s">
        <v>153</v>
      </c>
      <c r="B42" s="14" t="s">
        <v>154</v>
      </c>
      <c r="C42" s="32" t="s">
        <v>56</v>
      </c>
      <c r="D42" s="33" t="s">
        <v>39</v>
      </c>
      <c r="E42" s="47" t="s">
        <v>146</v>
      </c>
      <c r="F42" s="18" t="n">
        <v>51</v>
      </c>
      <c r="G42" s="19" t="n">
        <v>120</v>
      </c>
      <c r="H42" s="20" t="n">
        <v>24678</v>
      </c>
      <c r="I42" s="20" t="n">
        <v>27709</v>
      </c>
      <c r="J42" s="20" t="n">
        <v>25098</v>
      </c>
      <c r="K42" s="20" t="n">
        <v>30122</v>
      </c>
      <c r="L42" s="21" t="n">
        <f aca="false">SUM(H42:K42)</f>
        <v>107607</v>
      </c>
      <c r="M42" s="22" t="n">
        <v>826</v>
      </c>
      <c r="N42" s="22" t="n">
        <v>790</v>
      </c>
      <c r="O42" s="22" t="n">
        <v>647</v>
      </c>
      <c r="P42" s="22" t="n">
        <v>827</v>
      </c>
      <c r="Q42" s="23" t="n">
        <f aca="false">SUM(M42:P42)</f>
        <v>3090</v>
      </c>
      <c r="R42" s="39" t="s">
        <v>147</v>
      </c>
      <c r="S42" s="25" t="s">
        <v>31</v>
      </c>
    </row>
    <row r="43" customFormat="false" ht="15" hidden="false" customHeight="false" outlineLevel="0" collapsed="false">
      <c r="A43" s="13" t="s">
        <v>155</v>
      </c>
      <c r="B43" s="26" t="s">
        <v>156</v>
      </c>
      <c r="C43" s="15" t="s">
        <v>97</v>
      </c>
      <c r="D43" s="16" t="s">
        <v>28</v>
      </c>
      <c r="E43" s="47" t="s">
        <v>146</v>
      </c>
      <c r="F43" s="27" t="n">
        <v>100</v>
      </c>
      <c r="G43" s="28" t="n">
        <v>208</v>
      </c>
      <c r="H43" s="29" t="n">
        <v>56724</v>
      </c>
      <c r="I43" s="29" t="n">
        <v>61148</v>
      </c>
      <c r="J43" s="29" t="n">
        <v>55045</v>
      </c>
      <c r="K43" s="29" t="n">
        <v>64120</v>
      </c>
      <c r="L43" s="21" t="n">
        <f aca="false">SUM(H43:K43)</f>
        <v>237037</v>
      </c>
      <c r="M43" s="48" t="n">
        <v>-18</v>
      </c>
      <c r="N43" s="48" t="n">
        <v>-20</v>
      </c>
      <c r="O43" s="48" t="n">
        <v>-14</v>
      </c>
      <c r="P43" s="48" t="n">
        <v>-21</v>
      </c>
      <c r="Q43" s="23" t="n">
        <f aca="false">SUM(M43:P43)</f>
        <v>-73</v>
      </c>
      <c r="R43" s="31" t="s">
        <v>157</v>
      </c>
      <c r="S43" s="25" t="s">
        <v>31</v>
      </c>
    </row>
    <row r="44" customFormat="false" ht="15" hidden="false" customHeight="false" outlineLevel="0" collapsed="false">
      <c r="A44" s="13" t="s">
        <v>158</v>
      </c>
      <c r="B44" s="14" t="s">
        <v>159</v>
      </c>
      <c r="C44" s="15" t="s">
        <v>27</v>
      </c>
      <c r="D44" s="16" t="s">
        <v>28</v>
      </c>
      <c r="E44" s="47" t="s">
        <v>146</v>
      </c>
      <c r="F44" s="18" t="n">
        <v>100</v>
      </c>
      <c r="G44" s="19" t="n">
        <v>221</v>
      </c>
      <c r="H44" s="20" t="n">
        <v>47263</v>
      </c>
      <c r="I44" s="20" t="n">
        <v>54107</v>
      </c>
      <c r="J44" s="20" t="n">
        <v>51874</v>
      </c>
      <c r="K44" s="20" t="n">
        <v>58907</v>
      </c>
      <c r="L44" s="21" t="n">
        <f aca="false">SUM(H44:K44)</f>
        <v>212151</v>
      </c>
      <c r="M44" s="49" t="n">
        <v>-243</v>
      </c>
      <c r="N44" s="49" t="n">
        <v>-367</v>
      </c>
      <c r="O44" s="49" t="n">
        <v>-269</v>
      </c>
      <c r="P44" s="49" t="n">
        <v>-359</v>
      </c>
      <c r="Q44" s="23" t="n">
        <f aca="false">SUM(M44:P44)</f>
        <v>-1238</v>
      </c>
      <c r="R44" s="39" t="s">
        <v>160</v>
      </c>
      <c r="S44" s="25" t="s">
        <v>31</v>
      </c>
    </row>
    <row r="45" customFormat="false" ht="15" hidden="false" customHeight="false" outlineLevel="0" collapsed="false">
      <c r="A45" s="13" t="s">
        <v>40</v>
      </c>
      <c r="B45" s="26" t="s">
        <v>161</v>
      </c>
      <c r="C45" s="34" t="s">
        <v>42</v>
      </c>
      <c r="D45" s="35" t="s">
        <v>43</v>
      </c>
      <c r="E45" s="47" t="s">
        <v>146</v>
      </c>
      <c r="F45" s="27" t="n">
        <v>100</v>
      </c>
      <c r="G45" s="28" t="n">
        <v>154</v>
      </c>
      <c r="H45" s="29" t="n">
        <v>29718</v>
      </c>
      <c r="I45" s="29" t="n">
        <v>33085</v>
      </c>
      <c r="J45" s="29" t="n">
        <v>29141</v>
      </c>
      <c r="K45" s="29" t="n">
        <v>36828</v>
      </c>
      <c r="L45" s="21" t="n">
        <f aca="false">SUM(H45:K45)</f>
        <v>128772</v>
      </c>
      <c r="M45" s="30" t="n">
        <v>1742</v>
      </c>
      <c r="N45" s="30" t="n">
        <v>2246</v>
      </c>
      <c r="O45" s="30" t="n">
        <v>1699</v>
      </c>
      <c r="P45" s="30" t="n">
        <v>2740</v>
      </c>
      <c r="Q45" s="23" t="n">
        <f aca="false">SUM(M45:P45)</f>
        <v>8427</v>
      </c>
      <c r="R45" s="31" t="s">
        <v>162</v>
      </c>
      <c r="S45" s="42" t="s">
        <v>84</v>
      </c>
    </row>
    <row r="46" customFormat="false" ht="15" hidden="false" customHeight="false" outlineLevel="0" collapsed="false">
      <c r="A46" s="13" t="s">
        <v>163</v>
      </c>
      <c r="B46" s="14" t="s">
        <v>164</v>
      </c>
      <c r="C46" s="15" t="s">
        <v>93</v>
      </c>
      <c r="D46" s="16" t="s">
        <v>28</v>
      </c>
      <c r="E46" s="47" t="s">
        <v>146</v>
      </c>
      <c r="F46" s="18" t="n">
        <v>19.9</v>
      </c>
      <c r="G46" s="19" t="n">
        <v>166</v>
      </c>
      <c r="H46" s="20" t="n">
        <v>42440</v>
      </c>
      <c r="I46" s="20" t="n">
        <v>41704</v>
      </c>
      <c r="J46" s="20" t="n">
        <v>41196</v>
      </c>
      <c r="K46" s="20" t="n">
        <v>48086</v>
      </c>
      <c r="L46" s="21" t="n">
        <f aca="false">SUM(H46:K46)</f>
        <v>173426</v>
      </c>
      <c r="M46" s="22" t="n">
        <v>3199</v>
      </c>
      <c r="N46" s="22" t="n">
        <v>3073</v>
      </c>
      <c r="O46" s="22" t="n">
        <v>2916</v>
      </c>
      <c r="P46" s="22" t="n">
        <v>3428</v>
      </c>
      <c r="Q46" s="23" t="n">
        <f aca="false">SUM(M46:P46)</f>
        <v>12616</v>
      </c>
      <c r="R46" s="39" t="s">
        <v>157</v>
      </c>
      <c r="S46" s="42" t="s">
        <v>84</v>
      </c>
    </row>
    <row r="47" customFormat="false" ht="15" hidden="false" customHeight="false" outlineLevel="0" collapsed="false">
      <c r="A47" s="13" t="s">
        <v>165</v>
      </c>
      <c r="B47" s="26" t="s">
        <v>166</v>
      </c>
      <c r="C47" s="32" t="s">
        <v>60</v>
      </c>
      <c r="D47" s="33" t="s">
        <v>39</v>
      </c>
      <c r="E47" s="47" t="s">
        <v>146</v>
      </c>
      <c r="F47" s="27" t="n">
        <v>100</v>
      </c>
      <c r="G47" s="28" t="n">
        <v>225</v>
      </c>
      <c r="H47" s="29" t="n">
        <v>68442</v>
      </c>
      <c r="I47" s="29" t="n">
        <v>71121</v>
      </c>
      <c r="J47" s="29" t="n">
        <v>69328</v>
      </c>
      <c r="K47" s="29" t="n">
        <v>73432</v>
      </c>
      <c r="L47" s="21" t="n">
        <f aca="false">SUM(H47:K47)</f>
        <v>282323</v>
      </c>
      <c r="M47" s="48" t="n">
        <v>-822</v>
      </c>
      <c r="N47" s="48" t="n">
        <v>-914</v>
      </c>
      <c r="O47" s="48" t="n">
        <v>-881</v>
      </c>
      <c r="P47" s="48" t="n">
        <v>-987</v>
      </c>
      <c r="Q47" s="23" t="n">
        <f aca="false">SUM(M47:P47)</f>
        <v>-3604</v>
      </c>
      <c r="R47" s="31" t="s">
        <v>160</v>
      </c>
      <c r="S47" s="50" t="s">
        <v>167</v>
      </c>
    </row>
    <row r="48" customFormat="false" ht="15" hidden="false" customHeight="false" outlineLevel="0" collapsed="false">
      <c r="A48" s="13" t="s">
        <v>168</v>
      </c>
      <c r="B48" s="14" t="s">
        <v>169</v>
      </c>
      <c r="C48" s="32" t="s">
        <v>63</v>
      </c>
      <c r="D48" s="33" t="s">
        <v>39</v>
      </c>
      <c r="E48" s="47" t="s">
        <v>146</v>
      </c>
      <c r="F48" s="18" t="n">
        <v>100</v>
      </c>
      <c r="G48" s="19" t="n">
        <v>215</v>
      </c>
      <c r="H48" s="20" t="n">
        <v>70604</v>
      </c>
      <c r="I48" s="20" t="n">
        <v>63301</v>
      </c>
      <c r="J48" s="20" t="n">
        <v>60910</v>
      </c>
      <c r="K48" s="20" t="n">
        <v>71253</v>
      </c>
      <c r="L48" s="21" t="n">
        <f aca="false">SUM(H48:K48)</f>
        <v>266068</v>
      </c>
      <c r="M48" s="22" t="n">
        <v>4377</v>
      </c>
      <c r="N48" s="22" t="n">
        <v>4037</v>
      </c>
      <c r="O48" s="22" t="n">
        <v>4714</v>
      </c>
      <c r="P48" s="22" t="n">
        <v>5386</v>
      </c>
      <c r="Q48" s="23" t="n">
        <f aca="false">SUM(M48:P48)</f>
        <v>18514</v>
      </c>
      <c r="R48" s="39" t="s">
        <v>157</v>
      </c>
      <c r="S48" s="25" t="s">
        <v>31</v>
      </c>
    </row>
    <row r="49" customFormat="false" ht="15" hidden="false" customHeight="false" outlineLevel="0" collapsed="false">
      <c r="A49" s="13" t="s">
        <v>170</v>
      </c>
      <c r="B49" s="26" t="s">
        <v>171</v>
      </c>
      <c r="C49" s="32" t="s">
        <v>136</v>
      </c>
      <c r="D49" s="33" t="s">
        <v>39</v>
      </c>
      <c r="E49" s="47" t="s">
        <v>146</v>
      </c>
      <c r="F49" s="27" t="n">
        <v>100</v>
      </c>
      <c r="G49" s="28" t="n">
        <v>236</v>
      </c>
      <c r="H49" s="29" t="n">
        <v>58677</v>
      </c>
      <c r="I49" s="29" t="n">
        <v>65537</v>
      </c>
      <c r="J49" s="29" t="n">
        <v>60758</v>
      </c>
      <c r="K49" s="29" t="n">
        <v>70531</v>
      </c>
      <c r="L49" s="21" t="n">
        <f aca="false">SUM(H49:K49)</f>
        <v>255503</v>
      </c>
      <c r="M49" s="48" t="n">
        <v>-9</v>
      </c>
      <c r="N49" s="48" t="n">
        <v>-10</v>
      </c>
      <c r="O49" s="48" t="n">
        <v>-8</v>
      </c>
      <c r="P49" s="48" t="n">
        <v>-9</v>
      </c>
      <c r="Q49" s="23" t="n">
        <f aca="false">SUM(M49:P49)</f>
        <v>-36</v>
      </c>
      <c r="R49" s="31" t="s">
        <v>150</v>
      </c>
      <c r="S49" s="36" t="s">
        <v>45</v>
      </c>
    </row>
    <row r="50" customFormat="false" ht="15" hidden="false" customHeight="false" outlineLevel="0" collapsed="false">
      <c r="A50" s="13" t="s">
        <v>172</v>
      </c>
      <c r="B50" s="14" t="s">
        <v>173</v>
      </c>
      <c r="C50" s="32" t="s">
        <v>174</v>
      </c>
      <c r="D50" s="33" t="s">
        <v>39</v>
      </c>
      <c r="E50" s="47" t="s">
        <v>146</v>
      </c>
      <c r="F50" s="18" t="n">
        <v>100</v>
      </c>
      <c r="G50" s="19" t="n">
        <v>195</v>
      </c>
      <c r="H50" s="20" t="n">
        <v>30103</v>
      </c>
      <c r="I50" s="20" t="n">
        <v>28325</v>
      </c>
      <c r="J50" s="20" t="n">
        <v>30930</v>
      </c>
      <c r="K50" s="20" t="n">
        <v>32832</v>
      </c>
      <c r="L50" s="21" t="n">
        <f aca="false">SUM(H50:K50)</f>
        <v>122190</v>
      </c>
      <c r="M50" s="49" t="n">
        <v>-177</v>
      </c>
      <c r="N50" s="49" t="n">
        <v>-196</v>
      </c>
      <c r="O50" s="49" t="n">
        <v>-218</v>
      </c>
      <c r="P50" s="49" t="n">
        <v>-227</v>
      </c>
      <c r="Q50" s="23" t="n">
        <f aca="false">SUM(M50:P50)</f>
        <v>-818</v>
      </c>
      <c r="R50" s="39" t="s">
        <v>160</v>
      </c>
      <c r="S50" s="50" t="s">
        <v>167</v>
      </c>
    </row>
    <row r="51" customFormat="false" ht="15" hidden="false" customHeight="false" outlineLevel="0" collapsed="false">
      <c r="A51" s="13" t="s">
        <v>175</v>
      </c>
      <c r="B51" s="26" t="s">
        <v>176</v>
      </c>
      <c r="C51" s="32" t="s">
        <v>38</v>
      </c>
      <c r="D51" s="33" t="s">
        <v>39</v>
      </c>
      <c r="E51" s="47" t="s">
        <v>146</v>
      </c>
      <c r="F51" s="27" t="n">
        <v>19.9</v>
      </c>
      <c r="G51" s="28" t="n">
        <v>210</v>
      </c>
      <c r="H51" s="29" t="n">
        <v>63458</v>
      </c>
      <c r="I51" s="29" t="n">
        <v>70357</v>
      </c>
      <c r="J51" s="29" t="n">
        <v>71388</v>
      </c>
      <c r="K51" s="29" t="n">
        <v>68741</v>
      </c>
      <c r="L51" s="21" t="n">
        <f aca="false">SUM(H51:K51)</f>
        <v>273944</v>
      </c>
      <c r="M51" s="30" t="n">
        <v>3173</v>
      </c>
      <c r="N51" s="30" t="n">
        <v>4053</v>
      </c>
      <c r="O51" s="30" t="n">
        <v>3281</v>
      </c>
      <c r="P51" s="30" t="n">
        <v>3544</v>
      </c>
      <c r="Q51" s="23" t="n">
        <f aca="false">SUM(M51:P51)</f>
        <v>14051</v>
      </c>
      <c r="R51" s="31" t="s">
        <v>150</v>
      </c>
      <c r="S51" s="36" t="s">
        <v>45</v>
      </c>
    </row>
    <row r="52" customFormat="false" ht="15" hidden="false" customHeight="false" outlineLevel="0" collapsed="false">
      <c r="A52" s="13" t="s">
        <v>98</v>
      </c>
      <c r="B52" s="14" t="s">
        <v>177</v>
      </c>
      <c r="C52" s="34" t="s">
        <v>100</v>
      </c>
      <c r="D52" s="35" t="s">
        <v>43</v>
      </c>
      <c r="E52" s="47" t="s">
        <v>146</v>
      </c>
      <c r="F52" s="18" t="n">
        <v>100</v>
      </c>
      <c r="G52" s="19" t="n">
        <v>133</v>
      </c>
      <c r="H52" s="20" t="n">
        <v>62023</v>
      </c>
      <c r="I52" s="20" t="n">
        <v>66342</v>
      </c>
      <c r="J52" s="20" t="n">
        <v>57526</v>
      </c>
      <c r="K52" s="20" t="n">
        <v>61167</v>
      </c>
      <c r="L52" s="21" t="n">
        <f aca="false">SUM(H52:K52)</f>
        <v>247058</v>
      </c>
      <c r="M52" s="22" t="n">
        <v>2262</v>
      </c>
      <c r="N52" s="22" t="n">
        <v>1910</v>
      </c>
      <c r="O52" s="22" t="n">
        <v>1981</v>
      </c>
      <c r="P52" s="22" t="n">
        <v>1827</v>
      </c>
      <c r="Q52" s="23" t="n">
        <f aca="false">SUM(M52:P52)</f>
        <v>7980</v>
      </c>
      <c r="R52" s="39" t="s">
        <v>162</v>
      </c>
      <c r="S52" s="25" t="s">
        <v>31</v>
      </c>
    </row>
    <row r="53" customFormat="false" ht="15" hidden="false" customHeight="false" outlineLevel="0" collapsed="false">
      <c r="A53" s="13" t="s">
        <v>178</v>
      </c>
      <c r="B53" s="26" t="s">
        <v>179</v>
      </c>
      <c r="C53" s="37" t="s">
        <v>76</v>
      </c>
      <c r="D53" s="38" t="s">
        <v>49</v>
      </c>
      <c r="E53" s="47" t="s">
        <v>146</v>
      </c>
      <c r="F53" s="27" t="n">
        <v>51</v>
      </c>
      <c r="G53" s="28" t="n">
        <v>233</v>
      </c>
      <c r="H53" s="29" t="n">
        <v>38470</v>
      </c>
      <c r="I53" s="29" t="n">
        <v>42148</v>
      </c>
      <c r="J53" s="29" t="n">
        <v>42484</v>
      </c>
      <c r="K53" s="29" t="n">
        <v>46118</v>
      </c>
      <c r="L53" s="21" t="n">
        <f aca="false">SUM(H53:K53)</f>
        <v>169220</v>
      </c>
      <c r="M53" s="30" t="n">
        <v>1041</v>
      </c>
      <c r="N53" s="30" t="n">
        <v>1086</v>
      </c>
      <c r="O53" s="30" t="n">
        <v>1130</v>
      </c>
      <c r="P53" s="30" t="n">
        <v>1395</v>
      </c>
      <c r="Q53" s="23" t="n">
        <f aca="false">SUM(M53:P53)</f>
        <v>4652</v>
      </c>
      <c r="R53" s="31" t="s">
        <v>160</v>
      </c>
      <c r="S53" s="50" t="s">
        <v>167</v>
      </c>
    </row>
    <row r="54" customFormat="false" ht="15" hidden="false" customHeight="false" outlineLevel="0" collapsed="false">
      <c r="A54" s="13" t="s">
        <v>180</v>
      </c>
      <c r="B54" s="14" t="s">
        <v>181</v>
      </c>
      <c r="C54" s="37" t="s">
        <v>103</v>
      </c>
      <c r="D54" s="38" t="s">
        <v>49</v>
      </c>
      <c r="E54" s="47" t="s">
        <v>146</v>
      </c>
      <c r="F54" s="18" t="n">
        <v>100</v>
      </c>
      <c r="G54" s="19" t="n">
        <v>199</v>
      </c>
      <c r="H54" s="20" t="n">
        <v>49375</v>
      </c>
      <c r="I54" s="20" t="n">
        <v>53172</v>
      </c>
      <c r="J54" s="20" t="n">
        <v>55924</v>
      </c>
      <c r="K54" s="20" t="n">
        <v>61472</v>
      </c>
      <c r="L54" s="21" t="n">
        <f aca="false">SUM(H54:K54)</f>
        <v>219943</v>
      </c>
      <c r="M54" s="49" t="n">
        <v>-151</v>
      </c>
      <c r="N54" s="49" t="n">
        <v>-188</v>
      </c>
      <c r="O54" s="49" t="n">
        <v>-172</v>
      </c>
      <c r="P54" s="49" t="n">
        <v>-237</v>
      </c>
      <c r="Q54" s="23" t="n">
        <f aca="false">SUM(M54:P54)</f>
        <v>-748</v>
      </c>
      <c r="R54" s="39" t="s">
        <v>157</v>
      </c>
      <c r="S54" s="36" t="s">
        <v>45</v>
      </c>
    </row>
    <row r="55" customFormat="false" ht="15" hidden="false" customHeight="false" outlineLevel="0" collapsed="false">
      <c r="A55" s="13" t="s">
        <v>182</v>
      </c>
      <c r="B55" s="51" t="s">
        <v>183</v>
      </c>
      <c r="C55" s="32" t="s">
        <v>184</v>
      </c>
      <c r="D55" s="33" t="s">
        <v>39</v>
      </c>
      <c r="E55" s="52" t="s">
        <v>185</v>
      </c>
      <c r="F55" s="27" t="n">
        <v>100</v>
      </c>
      <c r="G55" s="28" t="n">
        <v>105</v>
      </c>
      <c r="H55" s="29" t="n">
        <v>63399</v>
      </c>
      <c r="I55" s="29" t="n">
        <v>64805</v>
      </c>
      <c r="J55" s="29" t="n">
        <v>55923</v>
      </c>
      <c r="K55" s="29" t="n">
        <v>64014</v>
      </c>
      <c r="L55" s="21" t="n">
        <f aca="false">SUM(H55:K55)</f>
        <v>248141</v>
      </c>
      <c r="M55" s="48" t="n">
        <v>-3062</v>
      </c>
      <c r="N55" s="48" t="n">
        <v>-3471</v>
      </c>
      <c r="O55" s="48" t="n">
        <v>-2958</v>
      </c>
      <c r="P55" s="48" t="n">
        <v>-3061</v>
      </c>
      <c r="Q55" s="23" t="n">
        <f aca="false">SUM(M55:P55)</f>
        <v>-12552</v>
      </c>
      <c r="R55" s="31" t="s">
        <v>186</v>
      </c>
      <c r="S55" s="36" t="s">
        <v>45</v>
      </c>
    </row>
    <row r="56" customFormat="false" ht="15" hidden="false" customHeight="false" outlineLevel="0" collapsed="false">
      <c r="A56" s="13" t="s">
        <v>187</v>
      </c>
      <c r="B56" s="14" t="s">
        <v>188</v>
      </c>
      <c r="C56" s="45" t="s">
        <v>129</v>
      </c>
      <c r="D56" s="46" t="s">
        <v>130</v>
      </c>
      <c r="E56" s="52" t="s">
        <v>185</v>
      </c>
      <c r="F56" s="18" t="n">
        <v>100</v>
      </c>
      <c r="G56" s="19" t="n">
        <v>212</v>
      </c>
      <c r="H56" s="20" t="n">
        <v>84867</v>
      </c>
      <c r="I56" s="20" t="n">
        <v>92397</v>
      </c>
      <c r="J56" s="20" t="n">
        <v>87262</v>
      </c>
      <c r="K56" s="20" t="n">
        <v>103650</v>
      </c>
      <c r="L56" s="21" t="n">
        <f aca="false">SUM(H56:K56)</f>
        <v>368176</v>
      </c>
      <c r="M56" s="22" t="n">
        <v>7296</v>
      </c>
      <c r="N56" s="22" t="n">
        <v>7764</v>
      </c>
      <c r="O56" s="22" t="n">
        <v>8347</v>
      </c>
      <c r="P56" s="22" t="n">
        <v>9291</v>
      </c>
      <c r="Q56" s="23" t="n">
        <f aca="false">SUM(M56:P56)</f>
        <v>32698</v>
      </c>
      <c r="R56" s="39" t="s">
        <v>189</v>
      </c>
      <c r="S56" s="50" t="s">
        <v>167</v>
      </c>
    </row>
    <row r="57" customFormat="false" ht="15" hidden="false" customHeight="false" outlineLevel="0" collapsed="false">
      <c r="A57" s="13" t="s">
        <v>190</v>
      </c>
      <c r="B57" s="26" t="s">
        <v>191</v>
      </c>
      <c r="C57" s="32" t="s">
        <v>136</v>
      </c>
      <c r="D57" s="33" t="s">
        <v>39</v>
      </c>
      <c r="E57" s="52" t="s">
        <v>185</v>
      </c>
      <c r="F57" s="27" t="n">
        <v>100</v>
      </c>
      <c r="G57" s="28" t="n">
        <v>268</v>
      </c>
      <c r="H57" s="29" t="n">
        <v>89024</v>
      </c>
      <c r="I57" s="29" t="n">
        <v>86016</v>
      </c>
      <c r="J57" s="29" t="n">
        <v>76507</v>
      </c>
      <c r="K57" s="29" t="n">
        <v>86092</v>
      </c>
      <c r="L57" s="21" t="n">
        <f aca="false">SUM(H57:K57)</f>
        <v>337639</v>
      </c>
      <c r="M57" s="30" t="n">
        <v>5335</v>
      </c>
      <c r="N57" s="30" t="n">
        <v>4616</v>
      </c>
      <c r="O57" s="30" t="n">
        <v>5069</v>
      </c>
      <c r="P57" s="30" t="n">
        <v>5706</v>
      </c>
      <c r="Q57" s="23" t="n">
        <f aca="false">SUM(M57:P57)</f>
        <v>20726</v>
      </c>
      <c r="R57" s="53" t="s">
        <v>192</v>
      </c>
      <c r="S57" s="50" t="s">
        <v>167</v>
      </c>
    </row>
    <row r="58" customFormat="false" ht="15" hidden="false" customHeight="false" outlineLevel="0" collapsed="false">
      <c r="A58" s="13" t="s">
        <v>193</v>
      </c>
      <c r="B58" s="14" t="s">
        <v>194</v>
      </c>
      <c r="C58" s="32" t="s">
        <v>174</v>
      </c>
      <c r="D58" s="33" t="s">
        <v>39</v>
      </c>
      <c r="E58" s="52" t="s">
        <v>185</v>
      </c>
      <c r="F58" s="18" t="n">
        <v>100</v>
      </c>
      <c r="G58" s="19" t="n">
        <v>301</v>
      </c>
      <c r="H58" s="20" t="n">
        <v>16000</v>
      </c>
      <c r="I58" s="20" t="n">
        <v>16349</v>
      </c>
      <c r="J58" s="20" t="n">
        <v>16249</v>
      </c>
      <c r="K58" s="20" t="n">
        <v>17525</v>
      </c>
      <c r="L58" s="21" t="n">
        <f aca="false">SUM(H58:K58)</f>
        <v>66123</v>
      </c>
      <c r="M58" s="22" t="n">
        <v>1788</v>
      </c>
      <c r="N58" s="22" t="n">
        <v>1845</v>
      </c>
      <c r="O58" s="22" t="n">
        <v>2423</v>
      </c>
      <c r="P58" s="22" t="n">
        <v>2464</v>
      </c>
      <c r="Q58" s="23" t="n">
        <f aca="false">SUM(M58:P58)</f>
        <v>8520</v>
      </c>
      <c r="R58" s="39" t="s">
        <v>195</v>
      </c>
      <c r="S58" s="36" t="s">
        <v>45</v>
      </c>
    </row>
    <row r="59" customFormat="false" ht="15" hidden="false" customHeight="false" outlineLevel="0" collapsed="false">
      <c r="A59" s="13" t="s">
        <v>172</v>
      </c>
      <c r="B59" s="26" t="s">
        <v>196</v>
      </c>
      <c r="C59" s="32" t="s">
        <v>174</v>
      </c>
      <c r="D59" s="33" t="s">
        <v>39</v>
      </c>
      <c r="E59" s="52" t="s">
        <v>185</v>
      </c>
      <c r="F59" s="27" t="n">
        <v>100</v>
      </c>
      <c r="G59" s="28" t="n">
        <v>249</v>
      </c>
      <c r="H59" s="29" t="n">
        <v>83731</v>
      </c>
      <c r="I59" s="29" t="n">
        <v>82559</v>
      </c>
      <c r="J59" s="29" t="n">
        <v>79698</v>
      </c>
      <c r="K59" s="29" t="n">
        <v>87086</v>
      </c>
      <c r="L59" s="21" t="n">
        <f aca="false">SUM(H59:K59)</f>
        <v>333074</v>
      </c>
      <c r="M59" s="30" t="n">
        <v>12241</v>
      </c>
      <c r="N59" s="30" t="n">
        <v>11075</v>
      </c>
      <c r="O59" s="30" t="n">
        <v>11068</v>
      </c>
      <c r="P59" s="30" t="n">
        <v>13302</v>
      </c>
      <c r="Q59" s="23" t="n">
        <f aca="false">SUM(M59:P59)</f>
        <v>47686</v>
      </c>
      <c r="R59" s="53" t="s">
        <v>192</v>
      </c>
      <c r="S59" s="36" t="s">
        <v>45</v>
      </c>
    </row>
    <row r="60" customFormat="false" ht="15" hidden="false" customHeight="false" outlineLevel="0" collapsed="false">
      <c r="A60" s="13" t="s">
        <v>197</v>
      </c>
      <c r="B60" s="14" t="s">
        <v>198</v>
      </c>
      <c r="C60" s="32" t="s">
        <v>174</v>
      </c>
      <c r="D60" s="33" t="s">
        <v>39</v>
      </c>
      <c r="E60" s="52" t="s">
        <v>185</v>
      </c>
      <c r="F60" s="18" t="n">
        <v>100</v>
      </c>
      <c r="G60" s="19" t="n">
        <v>106</v>
      </c>
      <c r="H60" s="20" t="n">
        <v>18028</v>
      </c>
      <c r="I60" s="20" t="n">
        <v>19216</v>
      </c>
      <c r="J60" s="20" t="n">
        <v>19158</v>
      </c>
      <c r="K60" s="20" t="n">
        <v>21144</v>
      </c>
      <c r="L60" s="21" t="n">
        <f aca="false">SUM(H60:K60)</f>
        <v>77546</v>
      </c>
      <c r="M60" s="22" t="n">
        <v>1104</v>
      </c>
      <c r="N60" s="22" t="n">
        <v>1078</v>
      </c>
      <c r="O60" s="22" t="n">
        <v>1255</v>
      </c>
      <c r="P60" s="22" t="n">
        <v>1307</v>
      </c>
      <c r="Q60" s="23" t="n">
        <f aca="false">SUM(M60:P60)</f>
        <v>4744</v>
      </c>
      <c r="R60" s="39" t="s">
        <v>186</v>
      </c>
      <c r="S60" s="42" t="s">
        <v>84</v>
      </c>
    </row>
    <row r="61" customFormat="false" ht="15" hidden="false" customHeight="false" outlineLevel="0" collapsed="false">
      <c r="A61" s="13" t="s">
        <v>199</v>
      </c>
      <c r="B61" s="26" t="s">
        <v>200</v>
      </c>
      <c r="C61" s="34" t="s">
        <v>42</v>
      </c>
      <c r="D61" s="35" t="s">
        <v>43</v>
      </c>
      <c r="E61" s="52" t="s">
        <v>185</v>
      </c>
      <c r="F61" s="27" t="n">
        <v>100</v>
      </c>
      <c r="G61" s="28" t="n">
        <v>335</v>
      </c>
      <c r="H61" s="29" t="n">
        <v>31851</v>
      </c>
      <c r="I61" s="29" t="n">
        <v>33847</v>
      </c>
      <c r="J61" s="29" t="n">
        <v>30700</v>
      </c>
      <c r="K61" s="29" t="n">
        <v>33000</v>
      </c>
      <c r="L61" s="21" t="n">
        <f aca="false">SUM(H61:K61)</f>
        <v>129398</v>
      </c>
      <c r="M61" s="30" t="n">
        <v>3800</v>
      </c>
      <c r="N61" s="30" t="n">
        <v>4528</v>
      </c>
      <c r="O61" s="30" t="n">
        <v>4147</v>
      </c>
      <c r="P61" s="30" t="n">
        <v>4777</v>
      </c>
      <c r="Q61" s="23" t="n">
        <f aca="false">SUM(M61:P61)</f>
        <v>17252</v>
      </c>
      <c r="R61" s="31" t="s">
        <v>189</v>
      </c>
      <c r="S61" s="36" t="s">
        <v>45</v>
      </c>
    </row>
    <row r="62" customFormat="false" ht="15" hidden="false" customHeight="false" outlineLevel="0" collapsed="false">
      <c r="A62" s="13" t="s">
        <v>201</v>
      </c>
      <c r="B62" s="14" t="s">
        <v>202</v>
      </c>
      <c r="C62" s="40" t="s">
        <v>203</v>
      </c>
      <c r="D62" s="41" t="s">
        <v>70</v>
      </c>
      <c r="E62" s="52" t="s">
        <v>185</v>
      </c>
      <c r="F62" s="18" t="n">
        <v>100</v>
      </c>
      <c r="G62" s="19" t="n">
        <v>226</v>
      </c>
      <c r="H62" s="20" t="n">
        <v>34929</v>
      </c>
      <c r="I62" s="20" t="n">
        <v>37821</v>
      </c>
      <c r="J62" s="20" t="n">
        <v>41735</v>
      </c>
      <c r="K62" s="20" t="n">
        <v>41820</v>
      </c>
      <c r="L62" s="21" t="n">
        <f aca="false">SUM(H62:K62)</f>
        <v>156305</v>
      </c>
      <c r="M62" s="49" t="n">
        <v>-1549</v>
      </c>
      <c r="N62" s="49" t="n">
        <v>-1713</v>
      </c>
      <c r="O62" s="49" t="n">
        <v>-2219</v>
      </c>
      <c r="P62" s="49" t="n">
        <v>-2055</v>
      </c>
      <c r="Q62" s="23" t="n">
        <f aca="false">SUM(M62:P62)</f>
        <v>-7536</v>
      </c>
      <c r="R62" s="39" t="s">
        <v>204</v>
      </c>
      <c r="S62" s="36" t="s">
        <v>45</v>
      </c>
    </row>
    <row r="63" customFormat="false" ht="15" hidden="false" customHeight="false" outlineLevel="0" collapsed="false">
      <c r="A63" s="13" t="s">
        <v>205</v>
      </c>
      <c r="B63" s="26" t="s">
        <v>206</v>
      </c>
      <c r="C63" s="40" t="s">
        <v>118</v>
      </c>
      <c r="D63" s="41" t="s">
        <v>70</v>
      </c>
      <c r="E63" s="52" t="s">
        <v>185</v>
      </c>
      <c r="F63" s="27" t="n">
        <v>100</v>
      </c>
      <c r="G63" s="28" t="n">
        <v>390</v>
      </c>
      <c r="H63" s="29" t="n">
        <v>76083</v>
      </c>
      <c r="I63" s="29" t="n">
        <v>90171</v>
      </c>
      <c r="J63" s="29" t="n">
        <v>85712</v>
      </c>
      <c r="K63" s="29" t="n">
        <v>91631</v>
      </c>
      <c r="L63" s="21" t="n">
        <f aca="false">SUM(H63:K63)</f>
        <v>343597</v>
      </c>
      <c r="M63" s="30" t="n">
        <v>10723</v>
      </c>
      <c r="N63" s="30" t="n">
        <v>10777</v>
      </c>
      <c r="O63" s="30" t="n">
        <v>13545</v>
      </c>
      <c r="P63" s="30" t="n">
        <v>14552</v>
      </c>
      <c r="Q63" s="23" t="n">
        <f aca="false">SUM(M63:P63)</f>
        <v>49597</v>
      </c>
      <c r="R63" s="31" t="s">
        <v>189</v>
      </c>
      <c r="S63" s="50" t="s">
        <v>167</v>
      </c>
    </row>
    <row r="64" customFormat="false" ht="15" hidden="false" customHeight="false" outlineLevel="0" collapsed="false">
      <c r="A64" s="13" t="s">
        <v>207</v>
      </c>
      <c r="B64" s="14" t="s">
        <v>208</v>
      </c>
      <c r="C64" s="40" t="s">
        <v>69</v>
      </c>
      <c r="D64" s="41" t="s">
        <v>70</v>
      </c>
      <c r="E64" s="52" t="s">
        <v>185</v>
      </c>
      <c r="F64" s="18" t="n">
        <v>60</v>
      </c>
      <c r="G64" s="19" t="n">
        <v>181</v>
      </c>
      <c r="H64" s="20" t="n">
        <v>7186</v>
      </c>
      <c r="I64" s="20" t="n">
        <v>7396</v>
      </c>
      <c r="J64" s="20" t="n">
        <v>6187</v>
      </c>
      <c r="K64" s="20" t="n">
        <v>7617</v>
      </c>
      <c r="L64" s="21" t="n">
        <f aca="false">SUM(H64:K64)</f>
        <v>28386</v>
      </c>
      <c r="M64" s="22" t="n">
        <v>344</v>
      </c>
      <c r="N64" s="22" t="n">
        <v>340</v>
      </c>
      <c r="O64" s="22" t="n">
        <v>274</v>
      </c>
      <c r="P64" s="22" t="n">
        <v>354</v>
      </c>
      <c r="Q64" s="23" t="n">
        <f aca="false">SUM(M64:P64)</f>
        <v>1312</v>
      </c>
      <c r="R64" s="39" t="s">
        <v>195</v>
      </c>
      <c r="S64" s="50" t="s">
        <v>167</v>
      </c>
    </row>
    <row r="65" customFormat="false" ht="15" hidden="false" customHeight="false" outlineLevel="0" collapsed="false">
      <c r="A65" s="13" t="s">
        <v>187</v>
      </c>
      <c r="B65" s="26" t="s">
        <v>209</v>
      </c>
      <c r="C65" s="45" t="s">
        <v>129</v>
      </c>
      <c r="D65" s="46" t="s">
        <v>130</v>
      </c>
      <c r="E65" s="52" t="s">
        <v>185</v>
      </c>
      <c r="F65" s="27" t="n">
        <v>80</v>
      </c>
      <c r="G65" s="28" t="n">
        <v>272</v>
      </c>
      <c r="H65" s="29" t="n">
        <v>10100</v>
      </c>
      <c r="I65" s="29" t="n">
        <v>10370</v>
      </c>
      <c r="J65" s="29" t="n">
        <v>9796</v>
      </c>
      <c r="K65" s="29" t="n">
        <v>10923</v>
      </c>
      <c r="L65" s="21" t="n">
        <f aca="false">SUM(H65:K65)</f>
        <v>41189</v>
      </c>
      <c r="M65" s="30" t="n">
        <v>639</v>
      </c>
      <c r="N65" s="30" t="n">
        <v>569</v>
      </c>
      <c r="O65" s="30" t="n">
        <v>593</v>
      </c>
      <c r="P65" s="30" t="n">
        <v>700</v>
      </c>
      <c r="Q65" s="23" t="n">
        <f aca="false">SUM(M65:P65)</f>
        <v>2501</v>
      </c>
      <c r="R65" s="31" t="s">
        <v>186</v>
      </c>
      <c r="S65" s="36" t="s">
        <v>45</v>
      </c>
    </row>
    <row r="66" customFormat="false" ht="15" hidden="false" customHeight="false" outlineLevel="0" collapsed="false">
      <c r="A66" s="13" t="s">
        <v>210</v>
      </c>
      <c r="B66" s="14" t="s">
        <v>211</v>
      </c>
      <c r="C66" s="43" t="s">
        <v>212</v>
      </c>
      <c r="D66" s="44" t="s">
        <v>123</v>
      </c>
      <c r="E66" s="52" t="s">
        <v>185</v>
      </c>
      <c r="F66" s="18" t="n">
        <v>50.1</v>
      </c>
      <c r="G66" s="19" t="n">
        <v>121</v>
      </c>
      <c r="H66" s="20" t="n">
        <v>33246</v>
      </c>
      <c r="I66" s="20" t="n">
        <v>39545</v>
      </c>
      <c r="J66" s="20" t="n">
        <v>33906</v>
      </c>
      <c r="K66" s="20" t="n">
        <v>38782</v>
      </c>
      <c r="L66" s="21" t="n">
        <f aca="false">SUM(H66:K66)</f>
        <v>145479</v>
      </c>
      <c r="M66" s="22" t="n">
        <v>2244</v>
      </c>
      <c r="N66" s="22" t="n">
        <v>2536</v>
      </c>
      <c r="O66" s="22" t="n">
        <v>2134</v>
      </c>
      <c r="P66" s="22" t="n">
        <v>2729</v>
      </c>
      <c r="Q66" s="23" t="n">
        <f aca="false">SUM(M66:P66)</f>
        <v>9643</v>
      </c>
      <c r="R66" s="39" t="s">
        <v>213</v>
      </c>
      <c r="S66" s="50" t="s">
        <v>167</v>
      </c>
    </row>
    <row r="67" customFormat="false" ht="15" hidden="false" customHeight="false" outlineLevel="0" collapsed="false">
      <c r="A67" s="13" t="s">
        <v>214</v>
      </c>
      <c r="B67" s="26" t="s">
        <v>215</v>
      </c>
      <c r="C67" s="32" t="s">
        <v>216</v>
      </c>
      <c r="D67" s="33" t="s">
        <v>39</v>
      </c>
      <c r="E67" s="52" t="s">
        <v>185</v>
      </c>
      <c r="F67" s="27" t="n">
        <v>80</v>
      </c>
      <c r="G67" s="28" t="n">
        <v>288</v>
      </c>
      <c r="H67" s="29" t="n">
        <v>61838</v>
      </c>
      <c r="I67" s="29" t="n">
        <v>75788</v>
      </c>
      <c r="J67" s="29" t="n">
        <v>71835</v>
      </c>
      <c r="K67" s="29" t="n">
        <v>78883</v>
      </c>
      <c r="L67" s="21" t="n">
        <f aca="false">SUM(H67:K67)</f>
        <v>288344</v>
      </c>
      <c r="M67" s="30" t="n">
        <v>7534</v>
      </c>
      <c r="N67" s="30" t="n">
        <v>9845</v>
      </c>
      <c r="O67" s="30" t="n">
        <v>9313</v>
      </c>
      <c r="P67" s="30" t="n">
        <v>9169</v>
      </c>
      <c r="Q67" s="23" t="n">
        <f aca="false">SUM(M67:P67)</f>
        <v>35861</v>
      </c>
      <c r="R67" s="31" t="s">
        <v>213</v>
      </c>
      <c r="S67" s="50" t="s">
        <v>167</v>
      </c>
    </row>
    <row r="68" customFormat="false" ht="15" hidden="false" customHeight="false" outlineLevel="0" collapsed="false">
      <c r="A68" s="13" t="s">
        <v>217</v>
      </c>
      <c r="B68" s="14" t="s">
        <v>218</v>
      </c>
      <c r="C68" s="32" t="s">
        <v>139</v>
      </c>
      <c r="D68" s="33" t="s">
        <v>39</v>
      </c>
      <c r="E68" s="52" t="s">
        <v>185</v>
      </c>
      <c r="F68" s="18" t="n">
        <v>100</v>
      </c>
      <c r="G68" s="19" t="n">
        <v>94</v>
      </c>
      <c r="H68" s="20" t="n">
        <v>11702</v>
      </c>
      <c r="I68" s="20" t="n">
        <v>12173</v>
      </c>
      <c r="J68" s="20" t="n">
        <v>11639</v>
      </c>
      <c r="K68" s="20" t="n">
        <v>12254</v>
      </c>
      <c r="L68" s="21" t="n">
        <f aca="false">SUM(H68:K68)</f>
        <v>47768</v>
      </c>
      <c r="M68" s="22" t="n">
        <v>1514</v>
      </c>
      <c r="N68" s="22" t="n">
        <v>1899</v>
      </c>
      <c r="O68" s="22" t="n">
        <v>1474</v>
      </c>
      <c r="P68" s="22" t="n">
        <v>1678</v>
      </c>
      <c r="Q68" s="23" t="n">
        <f aca="false">SUM(M68:P68)</f>
        <v>6565</v>
      </c>
      <c r="R68" s="39" t="s">
        <v>186</v>
      </c>
      <c r="S68" s="50" t="s">
        <v>167</v>
      </c>
    </row>
    <row r="69" customFormat="false" ht="15" hidden="false" customHeight="false" outlineLevel="0" collapsed="false">
      <c r="A69" s="13" t="s">
        <v>219</v>
      </c>
      <c r="B69" s="26" t="s">
        <v>220</v>
      </c>
      <c r="C69" s="32" t="s">
        <v>60</v>
      </c>
      <c r="D69" s="33" t="s">
        <v>39</v>
      </c>
      <c r="E69" s="52" t="s">
        <v>185</v>
      </c>
      <c r="F69" s="27" t="n">
        <v>100</v>
      </c>
      <c r="G69" s="28" t="n">
        <v>84</v>
      </c>
      <c r="H69" s="29" t="n">
        <v>54778</v>
      </c>
      <c r="I69" s="29" t="n">
        <v>61590</v>
      </c>
      <c r="J69" s="29" t="n">
        <v>50412</v>
      </c>
      <c r="K69" s="29" t="n">
        <v>63257</v>
      </c>
      <c r="L69" s="21" t="n">
        <f aca="false">SUM(H69:K69)</f>
        <v>230037</v>
      </c>
      <c r="M69" s="48" t="n">
        <v>-2247</v>
      </c>
      <c r="N69" s="48" t="n">
        <v>-3315</v>
      </c>
      <c r="O69" s="48" t="n">
        <v>-2175</v>
      </c>
      <c r="P69" s="48" t="n">
        <v>-2985</v>
      </c>
      <c r="Q69" s="23" t="n">
        <f aca="false">SUM(M69:P69)</f>
        <v>-10722</v>
      </c>
      <c r="R69" s="31" t="s">
        <v>195</v>
      </c>
      <c r="S69" s="25" t="s">
        <v>31</v>
      </c>
    </row>
    <row r="70" customFormat="false" ht="15" hidden="false" customHeight="false" outlineLevel="0" collapsed="false">
      <c r="A70" s="13" t="s">
        <v>221</v>
      </c>
      <c r="B70" s="14" t="s">
        <v>222</v>
      </c>
      <c r="C70" s="32" t="s">
        <v>56</v>
      </c>
      <c r="D70" s="33" t="s">
        <v>39</v>
      </c>
      <c r="E70" s="52" t="s">
        <v>185</v>
      </c>
      <c r="F70" s="18" t="n">
        <v>100</v>
      </c>
      <c r="G70" s="19" t="n">
        <v>262</v>
      </c>
      <c r="H70" s="20" t="n">
        <v>85110</v>
      </c>
      <c r="I70" s="20" t="n">
        <v>88421</v>
      </c>
      <c r="J70" s="20" t="n">
        <v>86042</v>
      </c>
      <c r="K70" s="20" t="n">
        <v>86909</v>
      </c>
      <c r="L70" s="21" t="n">
        <f aca="false">SUM(H70:K70)</f>
        <v>346482</v>
      </c>
      <c r="M70" s="49" t="n">
        <v>-2049</v>
      </c>
      <c r="N70" s="49" t="n">
        <v>-1942</v>
      </c>
      <c r="O70" s="49" t="n">
        <v>-1948</v>
      </c>
      <c r="P70" s="49" t="n">
        <v>-1873</v>
      </c>
      <c r="Q70" s="23" t="n">
        <f aca="false">SUM(M70:P70)</f>
        <v>-7812</v>
      </c>
      <c r="R70" s="39" t="s">
        <v>204</v>
      </c>
      <c r="S70" s="50" t="s">
        <v>167</v>
      </c>
    </row>
    <row r="71" customFormat="false" ht="15" hidden="false" customHeight="false" outlineLevel="0" collapsed="false">
      <c r="A71" s="13" t="s">
        <v>223</v>
      </c>
      <c r="B71" s="26" t="s">
        <v>224</v>
      </c>
      <c r="C71" s="43" t="s">
        <v>225</v>
      </c>
      <c r="D71" s="44" t="s">
        <v>123</v>
      </c>
      <c r="E71" s="54" t="s">
        <v>226</v>
      </c>
      <c r="F71" s="27" t="n">
        <v>100</v>
      </c>
      <c r="G71" s="28" t="n">
        <v>44</v>
      </c>
      <c r="H71" s="29" t="n">
        <v>786</v>
      </c>
      <c r="I71" s="29" t="n">
        <v>1285</v>
      </c>
      <c r="J71" s="29" t="n">
        <v>2198</v>
      </c>
      <c r="K71" s="29" t="n">
        <v>2801</v>
      </c>
      <c r="L71" s="21" t="n">
        <f aca="false">SUM(H71:K71)</f>
        <v>7070</v>
      </c>
      <c r="M71" s="48" t="n">
        <v>-104</v>
      </c>
      <c r="N71" s="48" t="n">
        <v>-40</v>
      </c>
      <c r="O71" s="48" t="n">
        <v>-71</v>
      </c>
      <c r="P71" s="48" t="n">
        <v>-78</v>
      </c>
      <c r="Q71" s="23" t="n">
        <f aca="false">SUM(M71:P71)</f>
        <v>-293</v>
      </c>
      <c r="R71" s="31" t="s">
        <v>227</v>
      </c>
      <c r="S71" s="55" t="s">
        <v>228</v>
      </c>
    </row>
    <row r="72" customFormat="false" ht="15" hidden="false" customHeight="false" outlineLevel="0" collapsed="false">
      <c r="A72" s="13" t="s">
        <v>229</v>
      </c>
      <c r="B72" s="14" t="s">
        <v>230</v>
      </c>
      <c r="C72" s="45" t="s">
        <v>129</v>
      </c>
      <c r="D72" s="46" t="s">
        <v>130</v>
      </c>
      <c r="E72" s="54" t="s">
        <v>226</v>
      </c>
      <c r="F72" s="18" t="n">
        <v>100</v>
      </c>
      <c r="G72" s="19" t="n">
        <v>45</v>
      </c>
      <c r="H72" s="20" t="n">
        <v>401</v>
      </c>
      <c r="I72" s="20" t="n">
        <v>1242</v>
      </c>
      <c r="J72" s="20" t="n">
        <v>2409</v>
      </c>
      <c r="K72" s="20" t="n">
        <v>3538</v>
      </c>
      <c r="L72" s="21" t="n">
        <f aca="false">SUM(H72:K72)</f>
        <v>7590</v>
      </c>
      <c r="M72" s="49" t="n">
        <v>-55</v>
      </c>
      <c r="N72" s="49" t="n">
        <v>-122</v>
      </c>
      <c r="O72" s="49" t="n">
        <v>-238</v>
      </c>
      <c r="P72" s="49" t="n">
        <v>-355</v>
      </c>
      <c r="Q72" s="23" t="n">
        <f aca="false">SUM(M72:P72)</f>
        <v>-770</v>
      </c>
      <c r="R72" s="39" t="s">
        <v>231</v>
      </c>
      <c r="S72" s="55" t="s">
        <v>228</v>
      </c>
    </row>
    <row r="73" customFormat="false" ht="15" hidden="false" customHeight="false" outlineLevel="0" collapsed="false">
      <c r="A73" s="13" t="s">
        <v>232</v>
      </c>
      <c r="B73" s="26" t="s">
        <v>233</v>
      </c>
      <c r="C73" s="37" t="s">
        <v>106</v>
      </c>
      <c r="D73" s="38" t="s">
        <v>49</v>
      </c>
      <c r="E73" s="54" t="s">
        <v>226</v>
      </c>
      <c r="F73" s="27" t="n">
        <v>19.9</v>
      </c>
      <c r="G73" s="28" t="n">
        <v>36</v>
      </c>
      <c r="H73" s="29" t="n">
        <v>142</v>
      </c>
      <c r="I73" s="29" t="n">
        <v>464</v>
      </c>
      <c r="J73" s="29" t="n">
        <v>765</v>
      </c>
      <c r="K73" s="29" t="n">
        <v>1080</v>
      </c>
      <c r="L73" s="21" t="n">
        <f aca="false">SUM(H73:K73)</f>
        <v>2451</v>
      </c>
      <c r="M73" s="48" t="n">
        <v>-18</v>
      </c>
      <c r="N73" s="30" t="n">
        <v>44</v>
      </c>
      <c r="O73" s="30" t="n">
        <v>71</v>
      </c>
      <c r="P73" s="30" t="n">
        <v>120</v>
      </c>
      <c r="Q73" s="23" t="n">
        <f aca="false">SUM(M73:P73)</f>
        <v>217</v>
      </c>
      <c r="R73" s="31" t="s">
        <v>234</v>
      </c>
      <c r="S73" s="50" t="s">
        <v>167</v>
      </c>
    </row>
    <row r="74" customFormat="false" ht="15" hidden="false" customHeight="false" outlineLevel="0" collapsed="false">
      <c r="A74" s="13" t="s">
        <v>235</v>
      </c>
      <c r="B74" s="14" t="s">
        <v>236</v>
      </c>
      <c r="C74" s="37" t="s">
        <v>103</v>
      </c>
      <c r="D74" s="38" t="s">
        <v>49</v>
      </c>
      <c r="E74" s="54" t="s">
        <v>226</v>
      </c>
      <c r="F74" s="18" t="n">
        <v>100</v>
      </c>
      <c r="G74" s="19" t="n">
        <v>57</v>
      </c>
      <c r="H74" s="20" t="n">
        <v>817</v>
      </c>
      <c r="I74" s="20" t="n">
        <v>3660</v>
      </c>
      <c r="J74" s="20" t="n">
        <v>5752</v>
      </c>
      <c r="K74" s="20" t="n">
        <v>5783</v>
      </c>
      <c r="L74" s="21" t="n">
        <f aca="false">SUM(H74:K74)</f>
        <v>16012</v>
      </c>
      <c r="M74" s="49" t="n">
        <v>-65</v>
      </c>
      <c r="N74" s="22" t="n">
        <v>451</v>
      </c>
      <c r="O74" s="22" t="n">
        <v>696</v>
      </c>
      <c r="P74" s="22" t="n">
        <v>725</v>
      </c>
      <c r="Q74" s="23" t="n">
        <f aca="false">SUM(M74:P74)</f>
        <v>1807</v>
      </c>
      <c r="R74" s="39" t="s">
        <v>237</v>
      </c>
      <c r="S74" s="55" t="s">
        <v>228</v>
      </c>
    </row>
    <row r="75" customFormat="false" ht="15" hidden="false" customHeight="false" outlineLevel="0" collapsed="false">
      <c r="A75" s="13" t="s">
        <v>238</v>
      </c>
      <c r="B75" s="26" t="s">
        <v>239</v>
      </c>
      <c r="C75" s="32" t="s">
        <v>174</v>
      </c>
      <c r="D75" s="33" t="s">
        <v>39</v>
      </c>
      <c r="E75" s="54" t="s">
        <v>226</v>
      </c>
      <c r="F75" s="27" t="n">
        <v>100</v>
      </c>
      <c r="G75" s="28" t="n">
        <v>47</v>
      </c>
      <c r="H75" s="29" t="n">
        <v>1344</v>
      </c>
      <c r="I75" s="29" t="n">
        <v>1598</v>
      </c>
      <c r="J75" s="29" t="n">
        <v>2764</v>
      </c>
      <c r="K75" s="29" t="n">
        <v>3865</v>
      </c>
      <c r="L75" s="21" t="n">
        <f aca="false">SUM(H75:K75)</f>
        <v>9571</v>
      </c>
      <c r="M75" s="48" t="n">
        <v>-101</v>
      </c>
      <c r="N75" s="30" t="n">
        <v>181</v>
      </c>
      <c r="O75" s="30" t="n">
        <v>340</v>
      </c>
      <c r="P75" s="30" t="n">
        <v>418</v>
      </c>
      <c r="Q75" s="23" t="n">
        <f aca="false">SUM(M75:P75)</f>
        <v>838</v>
      </c>
      <c r="R75" s="31" t="s">
        <v>237</v>
      </c>
      <c r="S75" s="56" t="s">
        <v>240</v>
      </c>
    </row>
    <row r="76" customFormat="false" ht="15" hidden="false" customHeight="false" outlineLevel="0" collapsed="false">
      <c r="A76" s="13" t="s">
        <v>241</v>
      </c>
      <c r="B76" s="14" t="s">
        <v>242</v>
      </c>
      <c r="C76" s="32" t="s">
        <v>139</v>
      </c>
      <c r="D76" s="33" t="s">
        <v>39</v>
      </c>
      <c r="E76" s="54" t="s">
        <v>226</v>
      </c>
      <c r="F76" s="18" t="n">
        <v>100</v>
      </c>
      <c r="G76" s="19" t="n">
        <v>40</v>
      </c>
      <c r="H76" s="20" t="n">
        <v>596</v>
      </c>
      <c r="I76" s="20" t="n">
        <v>1619</v>
      </c>
      <c r="J76" s="20" t="n">
        <v>3160</v>
      </c>
      <c r="K76" s="20" t="n">
        <v>3967</v>
      </c>
      <c r="L76" s="21" t="n">
        <f aca="false">SUM(H76:K76)</f>
        <v>9342</v>
      </c>
      <c r="M76" s="49" t="n">
        <v>-116</v>
      </c>
      <c r="N76" s="22" t="n">
        <v>118</v>
      </c>
      <c r="O76" s="22" t="n">
        <v>266</v>
      </c>
      <c r="P76" s="22" t="n">
        <v>334</v>
      </c>
      <c r="Q76" s="23" t="n">
        <f aca="false">SUM(M76:P76)</f>
        <v>602</v>
      </c>
      <c r="R76" s="39" t="s">
        <v>243</v>
      </c>
      <c r="S76" s="55" t="s">
        <v>228</v>
      </c>
    </row>
    <row r="77" customFormat="false" ht="15" hidden="false" customHeight="false" outlineLevel="0" collapsed="false">
      <c r="A77" s="13" t="s">
        <v>244</v>
      </c>
      <c r="B77" s="26" t="s">
        <v>245</v>
      </c>
      <c r="C77" s="37" t="s">
        <v>109</v>
      </c>
      <c r="D77" s="38" t="s">
        <v>49</v>
      </c>
      <c r="E77" s="54" t="s">
        <v>226</v>
      </c>
      <c r="F77" s="27" t="n">
        <v>100</v>
      </c>
      <c r="G77" s="28" t="n">
        <v>58</v>
      </c>
      <c r="H77" s="29" t="n">
        <v>1295</v>
      </c>
      <c r="I77" s="29" t="n">
        <v>1029</v>
      </c>
      <c r="J77" s="29" t="n">
        <v>2609</v>
      </c>
      <c r="K77" s="29" t="n">
        <v>3083</v>
      </c>
      <c r="L77" s="21" t="n">
        <f aca="false">SUM(H77:K77)</f>
        <v>8016</v>
      </c>
      <c r="M77" s="48" t="n">
        <v>-191</v>
      </c>
      <c r="N77" s="30" t="n">
        <v>18</v>
      </c>
      <c r="O77" s="30" t="n">
        <v>50</v>
      </c>
      <c r="P77" s="30" t="n">
        <v>60</v>
      </c>
      <c r="Q77" s="23" t="n">
        <f aca="false">SUM(M77:P77)</f>
        <v>-63</v>
      </c>
      <c r="R77" s="31" t="s">
        <v>227</v>
      </c>
      <c r="S77" s="50" t="s">
        <v>167</v>
      </c>
    </row>
    <row r="78" customFormat="false" ht="15" hidden="false" customHeight="false" outlineLevel="0" collapsed="false">
      <c r="A78" s="13" t="s">
        <v>153</v>
      </c>
      <c r="B78" s="14" t="s">
        <v>246</v>
      </c>
      <c r="C78" s="32" t="s">
        <v>56</v>
      </c>
      <c r="D78" s="33" t="s">
        <v>39</v>
      </c>
      <c r="E78" s="54" t="s">
        <v>226</v>
      </c>
      <c r="F78" s="18" t="n">
        <v>100</v>
      </c>
      <c r="G78" s="19" t="n">
        <v>56</v>
      </c>
      <c r="H78" s="20" t="n">
        <v>3</v>
      </c>
      <c r="I78" s="20" t="n">
        <v>1413</v>
      </c>
      <c r="J78" s="20" t="n">
        <v>2228</v>
      </c>
      <c r="K78" s="20" t="n">
        <v>2725</v>
      </c>
      <c r="L78" s="21" t="n">
        <f aca="false">SUM(H78:K78)</f>
        <v>6369</v>
      </c>
      <c r="M78" s="22" t="n">
        <v>0</v>
      </c>
      <c r="N78" s="22" t="n">
        <v>2</v>
      </c>
      <c r="O78" s="22" t="n">
        <v>3</v>
      </c>
      <c r="P78" s="22" t="n">
        <v>3</v>
      </c>
      <c r="Q78" s="23" t="n">
        <f aca="false">SUM(M78:P78)</f>
        <v>8</v>
      </c>
      <c r="R78" s="39" t="s">
        <v>237</v>
      </c>
      <c r="S78" s="55" t="s">
        <v>228</v>
      </c>
    </row>
    <row r="79" customFormat="false" ht="15" hidden="false" customHeight="false" outlineLevel="0" collapsed="false">
      <c r="A79" s="13" t="s">
        <v>247</v>
      </c>
      <c r="B79" s="26" t="s">
        <v>248</v>
      </c>
      <c r="C79" s="32" t="s">
        <v>142</v>
      </c>
      <c r="D79" s="33" t="s">
        <v>39</v>
      </c>
      <c r="E79" s="54" t="s">
        <v>226</v>
      </c>
      <c r="F79" s="27" t="n">
        <v>100</v>
      </c>
      <c r="G79" s="28" t="n">
        <v>54</v>
      </c>
      <c r="H79" s="29" t="n">
        <v>67</v>
      </c>
      <c r="I79" s="29" t="n">
        <v>291</v>
      </c>
      <c r="J79" s="29" t="n">
        <v>657</v>
      </c>
      <c r="K79" s="29" t="n">
        <v>833</v>
      </c>
      <c r="L79" s="21" t="n">
        <f aca="false">SUM(H79:K79)</f>
        <v>1848</v>
      </c>
      <c r="M79" s="48" t="n">
        <v>-13</v>
      </c>
      <c r="N79" s="30" t="n">
        <v>33</v>
      </c>
      <c r="O79" s="30" t="n">
        <v>72</v>
      </c>
      <c r="P79" s="30" t="n">
        <v>75</v>
      </c>
      <c r="Q79" s="23" t="n">
        <f aca="false">SUM(M79:P79)</f>
        <v>167</v>
      </c>
      <c r="R79" s="31" t="s">
        <v>231</v>
      </c>
      <c r="S79" s="56" t="s">
        <v>240</v>
      </c>
    </row>
    <row r="80" customFormat="false" ht="15" hidden="false" customHeight="false" outlineLevel="0" collapsed="false">
      <c r="A80" s="13" t="s">
        <v>249</v>
      </c>
      <c r="B80" s="14" t="s">
        <v>250</v>
      </c>
      <c r="C80" s="15" t="s">
        <v>251</v>
      </c>
      <c r="D80" s="16" t="s">
        <v>28</v>
      </c>
      <c r="E80" s="57" t="s">
        <v>252</v>
      </c>
      <c r="F80" s="18" t="n">
        <v>100</v>
      </c>
      <c r="G80" s="19" t="n">
        <v>488</v>
      </c>
      <c r="H80" s="20" t="n">
        <v>5899</v>
      </c>
      <c r="I80" s="20" t="n">
        <v>6531</v>
      </c>
      <c r="J80" s="20" t="n">
        <v>6531</v>
      </c>
      <c r="K80" s="20" t="n">
        <v>6543</v>
      </c>
      <c r="L80" s="21" t="n">
        <f aca="false">SUM(H80:K80)</f>
        <v>25504</v>
      </c>
      <c r="M80" s="22" t="n">
        <v>385</v>
      </c>
      <c r="N80" s="22" t="n">
        <v>521</v>
      </c>
      <c r="O80" s="22" t="n">
        <v>493</v>
      </c>
      <c r="P80" s="22" t="n">
        <v>479</v>
      </c>
      <c r="Q80" s="23" t="n">
        <f aca="false">SUM(M80:P80)</f>
        <v>1878</v>
      </c>
      <c r="R80" s="39" t="s">
        <v>253</v>
      </c>
      <c r="S80" s="25" t="s">
        <v>31</v>
      </c>
    </row>
    <row r="81" customFormat="false" ht="15" hidden="false" customHeight="false" outlineLevel="0" collapsed="false">
      <c r="A81" s="13" t="s">
        <v>254</v>
      </c>
      <c r="B81" s="26" t="s">
        <v>255</v>
      </c>
      <c r="C81" s="32" t="s">
        <v>174</v>
      </c>
      <c r="D81" s="33" t="s">
        <v>39</v>
      </c>
      <c r="E81" s="57" t="s">
        <v>252</v>
      </c>
      <c r="F81" s="27" t="n">
        <v>100</v>
      </c>
      <c r="G81" s="28" t="n">
        <v>400</v>
      </c>
      <c r="H81" s="29" t="n">
        <v>27351</v>
      </c>
      <c r="I81" s="29" t="n">
        <v>26378</v>
      </c>
      <c r="J81" s="29" t="n">
        <v>27405</v>
      </c>
      <c r="K81" s="29" t="n">
        <v>30484</v>
      </c>
      <c r="L81" s="21" t="n">
        <f aca="false">SUM(H81:K81)</f>
        <v>111618</v>
      </c>
      <c r="M81" s="30" t="n">
        <v>2212</v>
      </c>
      <c r="N81" s="30" t="n">
        <v>2392</v>
      </c>
      <c r="O81" s="30" t="n">
        <v>2248</v>
      </c>
      <c r="P81" s="30" t="n">
        <v>2673</v>
      </c>
      <c r="Q81" s="23" t="n">
        <f aca="false">SUM(M81:P81)</f>
        <v>9525</v>
      </c>
      <c r="R81" s="31" t="s">
        <v>256</v>
      </c>
      <c r="S81" s="42" t="s">
        <v>84</v>
      </c>
    </row>
    <row r="82" customFormat="false" ht="15" hidden="false" customHeight="false" outlineLevel="0" collapsed="false">
      <c r="A82" s="13" t="s">
        <v>257</v>
      </c>
      <c r="B82" s="14" t="s">
        <v>258</v>
      </c>
      <c r="C82" s="32" t="s">
        <v>174</v>
      </c>
      <c r="D82" s="33" t="s">
        <v>39</v>
      </c>
      <c r="E82" s="57" t="s">
        <v>252</v>
      </c>
      <c r="F82" s="18" t="n">
        <v>100</v>
      </c>
      <c r="G82" s="19" t="n">
        <v>396</v>
      </c>
      <c r="H82" s="20" t="n">
        <v>34156</v>
      </c>
      <c r="I82" s="20" t="n">
        <v>39104</v>
      </c>
      <c r="J82" s="20" t="n">
        <v>36288</v>
      </c>
      <c r="K82" s="20" t="n">
        <v>37567</v>
      </c>
      <c r="L82" s="21" t="n">
        <f aca="false">SUM(H82:K82)</f>
        <v>147115</v>
      </c>
      <c r="M82" s="22" t="n">
        <v>2193</v>
      </c>
      <c r="N82" s="22" t="n">
        <v>3015</v>
      </c>
      <c r="O82" s="22" t="n">
        <v>2731</v>
      </c>
      <c r="P82" s="22" t="n">
        <v>2628</v>
      </c>
      <c r="Q82" s="23" t="n">
        <f aca="false">SUM(M82:P82)</f>
        <v>10567</v>
      </c>
      <c r="R82" s="39" t="s">
        <v>259</v>
      </c>
      <c r="S82" s="25" t="s">
        <v>31</v>
      </c>
    </row>
    <row r="83" customFormat="false" ht="15" hidden="false" customHeight="false" outlineLevel="0" collapsed="false">
      <c r="A83" s="13" t="s">
        <v>260</v>
      </c>
      <c r="B83" s="26" t="s">
        <v>261</v>
      </c>
      <c r="C83" s="37" t="s">
        <v>76</v>
      </c>
      <c r="D83" s="38" t="s">
        <v>49</v>
      </c>
      <c r="E83" s="57" t="s">
        <v>252</v>
      </c>
      <c r="F83" s="27" t="n">
        <v>100</v>
      </c>
      <c r="G83" s="28" t="n">
        <v>255</v>
      </c>
      <c r="H83" s="29" t="n">
        <v>16884</v>
      </c>
      <c r="I83" s="29" t="n">
        <v>19098</v>
      </c>
      <c r="J83" s="29" t="n">
        <v>16176</v>
      </c>
      <c r="K83" s="29" t="n">
        <v>20163</v>
      </c>
      <c r="L83" s="21" t="n">
        <f aca="false">SUM(H83:K83)</f>
        <v>72321</v>
      </c>
      <c r="M83" s="30" t="n">
        <v>1304</v>
      </c>
      <c r="N83" s="30" t="n">
        <v>1350</v>
      </c>
      <c r="O83" s="30" t="n">
        <v>1056</v>
      </c>
      <c r="P83" s="30" t="n">
        <v>1308</v>
      </c>
      <c r="Q83" s="23" t="n">
        <f aca="false">SUM(M83:P83)</f>
        <v>5018</v>
      </c>
      <c r="R83" s="31" t="s">
        <v>256</v>
      </c>
      <c r="S83" s="42" t="s">
        <v>84</v>
      </c>
    </row>
    <row r="84" customFormat="false" ht="15" hidden="false" customHeight="false" outlineLevel="0" collapsed="false">
      <c r="A84" s="13" t="s">
        <v>262</v>
      </c>
      <c r="B84" s="14" t="s">
        <v>263</v>
      </c>
      <c r="C84" s="37" t="s">
        <v>103</v>
      </c>
      <c r="D84" s="38" t="s">
        <v>49</v>
      </c>
      <c r="E84" s="57" t="s">
        <v>252</v>
      </c>
      <c r="F84" s="18" t="n">
        <v>100</v>
      </c>
      <c r="G84" s="19" t="n">
        <v>144</v>
      </c>
      <c r="H84" s="20" t="n">
        <v>26756</v>
      </c>
      <c r="I84" s="20" t="n">
        <v>28529</v>
      </c>
      <c r="J84" s="20" t="n">
        <v>28717</v>
      </c>
      <c r="K84" s="20" t="n">
        <v>31354</v>
      </c>
      <c r="L84" s="21" t="n">
        <f aca="false">SUM(H84:K84)</f>
        <v>115356</v>
      </c>
      <c r="M84" s="22" t="n">
        <v>2729</v>
      </c>
      <c r="N84" s="22" t="n">
        <v>2664</v>
      </c>
      <c r="O84" s="22" t="n">
        <v>2577</v>
      </c>
      <c r="P84" s="22" t="n">
        <v>2861</v>
      </c>
      <c r="Q84" s="23" t="n">
        <f aca="false">SUM(M84:P84)</f>
        <v>10831</v>
      </c>
      <c r="R84" s="39" t="s">
        <v>256</v>
      </c>
      <c r="S84" s="42" t="s">
        <v>84</v>
      </c>
    </row>
    <row r="85" customFormat="false" ht="15" hidden="false" customHeight="false" outlineLevel="0" collapsed="false">
      <c r="A85" s="13" t="s">
        <v>264</v>
      </c>
      <c r="B85" s="26" t="s">
        <v>265</v>
      </c>
      <c r="C85" s="34" t="s">
        <v>42</v>
      </c>
      <c r="D85" s="35" t="s">
        <v>43</v>
      </c>
      <c r="E85" s="57" t="s">
        <v>252</v>
      </c>
      <c r="F85" s="27" t="n">
        <v>100</v>
      </c>
      <c r="G85" s="28" t="n">
        <v>468</v>
      </c>
      <c r="H85" s="29" t="n">
        <v>34683</v>
      </c>
      <c r="I85" s="29" t="n">
        <v>32178</v>
      </c>
      <c r="J85" s="29" t="n">
        <v>32213</v>
      </c>
      <c r="K85" s="29" t="n">
        <v>33757</v>
      </c>
      <c r="L85" s="21" t="n">
        <f aca="false">SUM(H85:K85)</f>
        <v>132831</v>
      </c>
      <c r="M85" s="30" t="n">
        <v>2241</v>
      </c>
      <c r="N85" s="30" t="n">
        <v>1980</v>
      </c>
      <c r="O85" s="30" t="n">
        <v>1985</v>
      </c>
      <c r="P85" s="30" t="n">
        <v>1778</v>
      </c>
      <c r="Q85" s="23" t="n">
        <f aca="false">SUM(M85:P85)</f>
        <v>7984</v>
      </c>
      <c r="R85" s="31" t="s">
        <v>266</v>
      </c>
      <c r="S85" s="42" t="s">
        <v>84</v>
      </c>
    </row>
    <row r="86" customFormat="false" ht="15" hidden="false" customHeight="false" outlineLevel="0" collapsed="false">
      <c r="A86" s="13" t="s">
        <v>267</v>
      </c>
      <c r="B86" s="14" t="s">
        <v>268</v>
      </c>
      <c r="C86" s="45" t="s">
        <v>129</v>
      </c>
      <c r="D86" s="46" t="s">
        <v>130</v>
      </c>
      <c r="E86" s="57" t="s">
        <v>252</v>
      </c>
      <c r="F86" s="18" t="n">
        <v>100</v>
      </c>
      <c r="G86" s="19" t="n">
        <v>597</v>
      </c>
      <c r="H86" s="20" t="n">
        <v>40725</v>
      </c>
      <c r="I86" s="20" t="n">
        <v>38088</v>
      </c>
      <c r="J86" s="20" t="n">
        <v>35047</v>
      </c>
      <c r="K86" s="20" t="n">
        <v>38482</v>
      </c>
      <c r="L86" s="21" t="n">
        <f aca="false">SUM(H86:K86)</f>
        <v>152342</v>
      </c>
      <c r="M86" s="22" t="n">
        <v>2395</v>
      </c>
      <c r="N86" s="22" t="n">
        <v>2487</v>
      </c>
      <c r="O86" s="22" t="n">
        <v>2647</v>
      </c>
      <c r="P86" s="22" t="n">
        <v>2710</v>
      </c>
      <c r="Q86" s="23" t="n">
        <f aca="false">SUM(M86:P86)</f>
        <v>10239</v>
      </c>
      <c r="R86" s="39" t="s">
        <v>259</v>
      </c>
      <c r="S86" s="25" t="s">
        <v>31</v>
      </c>
    </row>
    <row r="87" customFormat="false" ht="15" hidden="false" customHeight="false" outlineLevel="0" collapsed="false">
      <c r="A87" s="13" t="s">
        <v>219</v>
      </c>
      <c r="B87" s="26" t="s">
        <v>269</v>
      </c>
      <c r="C87" s="32" t="s">
        <v>60</v>
      </c>
      <c r="D87" s="33" t="s">
        <v>39</v>
      </c>
      <c r="E87" s="57" t="s">
        <v>252</v>
      </c>
      <c r="F87" s="27" t="n">
        <v>100</v>
      </c>
      <c r="G87" s="28" t="n">
        <v>527</v>
      </c>
      <c r="H87" s="29" t="n">
        <v>24481</v>
      </c>
      <c r="I87" s="29" t="n">
        <v>26939</v>
      </c>
      <c r="J87" s="29" t="n">
        <v>28987</v>
      </c>
      <c r="K87" s="29" t="n">
        <v>28741</v>
      </c>
      <c r="L87" s="21" t="n">
        <f aca="false">SUM(H87:K87)</f>
        <v>109148</v>
      </c>
      <c r="M87" s="30" t="n">
        <v>1795</v>
      </c>
      <c r="N87" s="30" t="n">
        <v>2002</v>
      </c>
      <c r="O87" s="30" t="n">
        <v>2658</v>
      </c>
      <c r="P87" s="30" t="n">
        <v>2786</v>
      </c>
      <c r="Q87" s="23" t="n">
        <f aca="false">SUM(M87:P87)</f>
        <v>9241</v>
      </c>
      <c r="R87" s="31" t="s">
        <v>270</v>
      </c>
      <c r="S87" s="25" t="s">
        <v>31</v>
      </c>
    </row>
    <row r="88" customFormat="false" ht="15" hidden="false" customHeight="false" outlineLevel="0" collapsed="false">
      <c r="A88" s="13" t="s">
        <v>271</v>
      </c>
      <c r="B88" s="14" t="s">
        <v>272</v>
      </c>
      <c r="C88" s="32" t="s">
        <v>136</v>
      </c>
      <c r="D88" s="33" t="s">
        <v>39</v>
      </c>
      <c r="E88" s="57" t="s">
        <v>252</v>
      </c>
      <c r="F88" s="18" t="n">
        <v>100</v>
      </c>
      <c r="G88" s="19" t="n">
        <v>449</v>
      </c>
      <c r="H88" s="20" t="n">
        <v>35974</v>
      </c>
      <c r="I88" s="20" t="n">
        <v>37861</v>
      </c>
      <c r="J88" s="20" t="n">
        <v>36859</v>
      </c>
      <c r="K88" s="20" t="n">
        <v>37888</v>
      </c>
      <c r="L88" s="21" t="n">
        <f aca="false">SUM(H88:K88)</f>
        <v>148582</v>
      </c>
      <c r="M88" s="22" t="n">
        <v>2764</v>
      </c>
      <c r="N88" s="22" t="n">
        <v>3006</v>
      </c>
      <c r="O88" s="22" t="n">
        <v>2440</v>
      </c>
      <c r="P88" s="22" t="n">
        <v>2392</v>
      </c>
      <c r="Q88" s="23" t="n">
        <f aca="false">SUM(M88:P88)</f>
        <v>10602</v>
      </c>
      <c r="R88" s="39" t="s">
        <v>266</v>
      </c>
      <c r="S88" s="25" t="s">
        <v>31</v>
      </c>
    </row>
    <row r="89" customFormat="false" ht="15" hidden="false" customHeight="false" outlineLevel="0" collapsed="false">
      <c r="A89" s="13" t="s">
        <v>273</v>
      </c>
      <c r="B89" s="26" t="s">
        <v>274</v>
      </c>
      <c r="C89" s="43" t="s">
        <v>126</v>
      </c>
      <c r="D89" s="44" t="s">
        <v>123</v>
      </c>
      <c r="E89" s="57" t="s">
        <v>252</v>
      </c>
      <c r="F89" s="27" t="n">
        <v>100</v>
      </c>
      <c r="G89" s="28" t="n">
        <v>424</v>
      </c>
      <c r="H89" s="29" t="n">
        <v>37151</v>
      </c>
      <c r="I89" s="29" t="n">
        <v>41649</v>
      </c>
      <c r="J89" s="29" t="n">
        <v>36205</v>
      </c>
      <c r="K89" s="29" t="n">
        <v>44381</v>
      </c>
      <c r="L89" s="21" t="n">
        <f aca="false">SUM(H89:K89)</f>
        <v>159386</v>
      </c>
      <c r="M89" s="30" t="n">
        <v>3262</v>
      </c>
      <c r="N89" s="30" t="n">
        <v>3276</v>
      </c>
      <c r="O89" s="30" t="n">
        <v>3018</v>
      </c>
      <c r="P89" s="30" t="n">
        <v>3857</v>
      </c>
      <c r="Q89" s="23" t="n">
        <f aca="false">SUM(M89:P89)</f>
        <v>13413</v>
      </c>
      <c r="R89" s="31" t="s">
        <v>270</v>
      </c>
      <c r="S89" s="25" t="s">
        <v>31</v>
      </c>
    </row>
    <row r="90" customFormat="false" ht="15" hidden="false" customHeight="false" outlineLevel="0" collapsed="false">
      <c r="A90" s="13" t="s">
        <v>275</v>
      </c>
      <c r="B90" s="14" t="s">
        <v>276</v>
      </c>
      <c r="C90" s="32" t="s">
        <v>66</v>
      </c>
      <c r="D90" s="33" t="s">
        <v>39</v>
      </c>
      <c r="E90" s="57" t="s">
        <v>252</v>
      </c>
      <c r="F90" s="18" t="n">
        <v>100</v>
      </c>
      <c r="G90" s="19" t="n">
        <v>208</v>
      </c>
      <c r="H90" s="20" t="n">
        <v>14254</v>
      </c>
      <c r="I90" s="20" t="n">
        <v>14472</v>
      </c>
      <c r="J90" s="20" t="n">
        <v>12619</v>
      </c>
      <c r="K90" s="20" t="n">
        <v>14756</v>
      </c>
      <c r="L90" s="21" t="n">
        <f aca="false">SUM(H90:K90)</f>
        <v>56101</v>
      </c>
      <c r="M90" s="22" t="n">
        <v>1306</v>
      </c>
      <c r="N90" s="22" t="n">
        <v>1078</v>
      </c>
      <c r="O90" s="22" t="n">
        <v>963</v>
      </c>
      <c r="P90" s="22" t="n">
        <v>1266</v>
      </c>
      <c r="Q90" s="23" t="n">
        <f aca="false">SUM(M90:P90)</f>
        <v>4613</v>
      </c>
      <c r="R90" s="39" t="s">
        <v>256</v>
      </c>
      <c r="S90" s="42" t="s">
        <v>84</v>
      </c>
    </row>
    <row r="91" customFormat="false" ht="15" hidden="false" customHeight="false" outlineLevel="0" collapsed="false">
      <c r="A91" s="13" t="s">
        <v>277</v>
      </c>
      <c r="B91" s="26" t="s">
        <v>278</v>
      </c>
      <c r="C91" s="32" t="s">
        <v>216</v>
      </c>
      <c r="D91" s="33" t="s">
        <v>39</v>
      </c>
      <c r="E91" s="57" t="s">
        <v>252</v>
      </c>
      <c r="F91" s="27" t="n">
        <v>100</v>
      </c>
      <c r="G91" s="28" t="n">
        <v>204</v>
      </c>
      <c r="H91" s="29" t="n">
        <v>31668</v>
      </c>
      <c r="I91" s="29" t="n">
        <v>37783</v>
      </c>
      <c r="J91" s="29" t="n">
        <v>32261</v>
      </c>
      <c r="K91" s="29" t="n">
        <v>39871</v>
      </c>
      <c r="L91" s="21" t="n">
        <f aca="false">SUM(H91:K91)</f>
        <v>141583</v>
      </c>
      <c r="M91" s="30" t="n">
        <v>1960</v>
      </c>
      <c r="N91" s="30" t="n">
        <v>2375</v>
      </c>
      <c r="O91" s="30" t="n">
        <v>2195</v>
      </c>
      <c r="P91" s="30" t="n">
        <v>2922</v>
      </c>
      <c r="Q91" s="23" t="n">
        <f aca="false">SUM(M91:P91)</f>
        <v>9452</v>
      </c>
      <c r="R91" s="31" t="s">
        <v>256</v>
      </c>
      <c r="S91" s="25" t="s">
        <v>31</v>
      </c>
    </row>
    <row r="92" customFormat="false" ht="15" hidden="false" customHeight="false" outlineLevel="0" collapsed="false">
      <c r="A92" s="13" t="s">
        <v>279</v>
      </c>
      <c r="B92" s="14" t="s">
        <v>280</v>
      </c>
      <c r="C92" s="32" t="s">
        <v>281</v>
      </c>
      <c r="D92" s="33" t="s">
        <v>39</v>
      </c>
      <c r="E92" s="58" t="s">
        <v>282</v>
      </c>
      <c r="F92" s="18" t="n">
        <v>85</v>
      </c>
      <c r="G92" s="19" t="n">
        <v>29</v>
      </c>
      <c r="H92" s="20" t="n">
        <v>49808</v>
      </c>
      <c r="I92" s="20" t="n">
        <v>46663</v>
      </c>
      <c r="J92" s="20" t="n">
        <v>43426</v>
      </c>
      <c r="K92" s="20" t="n">
        <v>49644</v>
      </c>
      <c r="L92" s="21" t="n">
        <f aca="false">SUM(H92:K92)</f>
        <v>189541</v>
      </c>
      <c r="M92" s="22" t="n">
        <v>2223</v>
      </c>
      <c r="N92" s="22" t="n">
        <v>2349</v>
      </c>
      <c r="O92" s="22" t="n">
        <v>2008</v>
      </c>
      <c r="P92" s="22" t="n">
        <v>2170</v>
      </c>
      <c r="Q92" s="23" t="n">
        <f aca="false">SUM(M92:P92)</f>
        <v>8750</v>
      </c>
      <c r="R92" s="39" t="s">
        <v>283</v>
      </c>
      <c r="S92" s="25" t="s">
        <v>31</v>
      </c>
    </row>
    <row r="93" customFormat="false" ht="15" hidden="false" customHeight="false" outlineLevel="0" collapsed="false">
      <c r="A93" s="13" t="s">
        <v>284</v>
      </c>
      <c r="B93" s="26" t="s">
        <v>285</v>
      </c>
      <c r="C93" s="15" t="s">
        <v>286</v>
      </c>
      <c r="D93" s="16" t="s">
        <v>28</v>
      </c>
      <c r="E93" s="58" t="s">
        <v>282</v>
      </c>
      <c r="F93" s="27" t="n">
        <v>100</v>
      </c>
      <c r="G93" s="28" t="n">
        <v>25</v>
      </c>
      <c r="H93" s="29" t="n">
        <v>40514</v>
      </c>
      <c r="I93" s="29" t="n">
        <v>40566</v>
      </c>
      <c r="J93" s="29" t="n">
        <v>43403</v>
      </c>
      <c r="K93" s="29" t="n">
        <v>44637</v>
      </c>
      <c r="L93" s="21" t="n">
        <f aca="false">SUM(H93:K93)</f>
        <v>169120</v>
      </c>
      <c r="M93" s="30" t="n">
        <v>2770</v>
      </c>
      <c r="N93" s="30" t="n">
        <v>3288</v>
      </c>
      <c r="O93" s="30" t="n">
        <v>3316</v>
      </c>
      <c r="P93" s="30" t="n">
        <v>3175</v>
      </c>
      <c r="Q93" s="23" t="n">
        <f aca="false">SUM(M93:P93)</f>
        <v>12549</v>
      </c>
      <c r="R93" s="31" t="s">
        <v>287</v>
      </c>
      <c r="S93" s="25" t="s">
        <v>31</v>
      </c>
    </row>
    <row r="94" customFormat="false" ht="15" hidden="false" customHeight="false" outlineLevel="0" collapsed="false">
      <c r="A94" s="13" t="s">
        <v>288</v>
      </c>
      <c r="B94" s="14" t="s">
        <v>289</v>
      </c>
      <c r="C94" s="32" t="s">
        <v>52</v>
      </c>
      <c r="D94" s="33" t="s">
        <v>39</v>
      </c>
      <c r="E94" s="58" t="s">
        <v>282</v>
      </c>
      <c r="F94" s="18" t="n">
        <v>100</v>
      </c>
      <c r="G94" s="19" t="n">
        <v>28</v>
      </c>
      <c r="H94" s="20" t="n">
        <v>34234</v>
      </c>
      <c r="I94" s="20" t="n">
        <v>36790</v>
      </c>
      <c r="J94" s="20" t="n">
        <v>29705</v>
      </c>
      <c r="K94" s="20" t="n">
        <v>35006</v>
      </c>
      <c r="L94" s="21" t="n">
        <f aca="false">SUM(H94:K94)</f>
        <v>135735</v>
      </c>
      <c r="M94" s="22" t="n">
        <v>1874</v>
      </c>
      <c r="N94" s="22" t="n">
        <v>1863</v>
      </c>
      <c r="O94" s="22" t="n">
        <v>1534</v>
      </c>
      <c r="P94" s="22" t="n">
        <v>1701</v>
      </c>
      <c r="Q94" s="23" t="n">
        <f aca="false">SUM(M94:P94)</f>
        <v>6972</v>
      </c>
      <c r="R94" s="39" t="s">
        <v>290</v>
      </c>
      <c r="S94" s="36" t="s">
        <v>45</v>
      </c>
    </row>
    <row r="95" customFormat="false" ht="15" hidden="false" customHeight="false" outlineLevel="0" collapsed="false">
      <c r="A95" s="13" t="s">
        <v>291</v>
      </c>
      <c r="B95" s="26" t="s">
        <v>292</v>
      </c>
      <c r="C95" s="34" t="s">
        <v>42</v>
      </c>
      <c r="D95" s="35" t="s">
        <v>43</v>
      </c>
      <c r="E95" s="58" t="s">
        <v>282</v>
      </c>
      <c r="F95" s="27" t="n">
        <v>100</v>
      </c>
      <c r="G95" s="28" t="n">
        <v>40</v>
      </c>
      <c r="H95" s="29" t="n">
        <v>36425</v>
      </c>
      <c r="I95" s="29" t="n">
        <v>36751</v>
      </c>
      <c r="J95" s="29" t="n">
        <v>36846</v>
      </c>
      <c r="K95" s="29" t="n">
        <v>34597</v>
      </c>
      <c r="L95" s="21" t="n">
        <f aca="false">SUM(H95:K95)</f>
        <v>144619</v>
      </c>
      <c r="M95" s="30" t="n">
        <v>2374</v>
      </c>
      <c r="N95" s="30" t="n">
        <v>2730</v>
      </c>
      <c r="O95" s="30" t="n">
        <v>2493</v>
      </c>
      <c r="P95" s="30" t="n">
        <v>2292</v>
      </c>
      <c r="Q95" s="23" t="n">
        <f aca="false">SUM(M95:P95)</f>
        <v>9889</v>
      </c>
      <c r="R95" s="31" t="s">
        <v>293</v>
      </c>
      <c r="S95" s="42" t="s">
        <v>84</v>
      </c>
    </row>
    <row r="96" customFormat="false" ht="15" hidden="false" customHeight="false" outlineLevel="0" collapsed="false">
      <c r="A96" s="13" t="s">
        <v>25</v>
      </c>
      <c r="B96" s="14" t="s">
        <v>294</v>
      </c>
      <c r="C96" s="15" t="s">
        <v>27</v>
      </c>
      <c r="D96" s="16" t="s">
        <v>28</v>
      </c>
      <c r="E96" s="58" t="s">
        <v>282</v>
      </c>
      <c r="F96" s="18" t="n">
        <v>100</v>
      </c>
      <c r="G96" s="19" t="n">
        <v>30</v>
      </c>
      <c r="H96" s="20" t="n">
        <v>36487</v>
      </c>
      <c r="I96" s="20" t="n">
        <v>44953</v>
      </c>
      <c r="J96" s="20" t="n">
        <v>40865</v>
      </c>
      <c r="K96" s="20" t="n">
        <v>45106</v>
      </c>
      <c r="L96" s="21" t="n">
        <f aca="false">SUM(H96:K96)</f>
        <v>167411</v>
      </c>
      <c r="M96" s="22" t="n">
        <v>2448</v>
      </c>
      <c r="N96" s="22" t="n">
        <v>2479</v>
      </c>
      <c r="O96" s="22" t="n">
        <v>2712</v>
      </c>
      <c r="P96" s="22" t="n">
        <v>3185</v>
      </c>
      <c r="Q96" s="23" t="n">
        <f aca="false">SUM(M96:P96)</f>
        <v>10824</v>
      </c>
      <c r="R96" s="39" t="s">
        <v>293</v>
      </c>
      <c r="S96" s="25" t="s">
        <v>31</v>
      </c>
    </row>
    <row r="97" customFormat="false" ht="15" hidden="false" customHeight="false" outlineLevel="0" collapsed="false">
      <c r="A97" s="13" t="s">
        <v>295</v>
      </c>
      <c r="B97" s="26" t="s">
        <v>296</v>
      </c>
      <c r="C97" s="15" t="s">
        <v>87</v>
      </c>
      <c r="D97" s="16" t="s">
        <v>28</v>
      </c>
      <c r="E97" s="58" t="s">
        <v>282</v>
      </c>
      <c r="F97" s="27" t="n">
        <v>85</v>
      </c>
      <c r="G97" s="28" t="n">
        <v>45</v>
      </c>
      <c r="H97" s="29" t="n">
        <v>39474</v>
      </c>
      <c r="I97" s="29" t="n">
        <v>40590</v>
      </c>
      <c r="J97" s="29" t="n">
        <v>40420</v>
      </c>
      <c r="K97" s="29" t="n">
        <v>44245</v>
      </c>
      <c r="L97" s="21" t="n">
        <f aca="false">SUM(H97:K97)</f>
        <v>164729</v>
      </c>
      <c r="M97" s="30" t="n">
        <v>2529</v>
      </c>
      <c r="N97" s="30" t="n">
        <v>1992</v>
      </c>
      <c r="O97" s="30" t="n">
        <v>2359</v>
      </c>
      <c r="P97" s="30" t="n">
        <v>2487</v>
      </c>
      <c r="Q97" s="23" t="n">
        <f aca="false">SUM(M97:P97)</f>
        <v>9367</v>
      </c>
      <c r="R97" s="31" t="s">
        <v>283</v>
      </c>
      <c r="S97" s="42" t="s">
        <v>84</v>
      </c>
    </row>
    <row r="98" customFormat="false" ht="15" hidden="false" customHeight="false" outlineLevel="0" collapsed="false">
      <c r="A98" s="13" t="s">
        <v>36</v>
      </c>
      <c r="B98" s="14" t="s">
        <v>297</v>
      </c>
      <c r="C98" s="32" t="s">
        <v>38</v>
      </c>
      <c r="D98" s="33" t="s">
        <v>39</v>
      </c>
      <c r="E98" s="58" t="s">
        <v>282</v>
      </c>
      <c r="F98" s="18" t="n">
        <v>100</v>
      </c>
      <c r="G98" s="19" t="n">
        <v>40</v>
      </c>
      <c r="H98" s="20" t="n">
        <v>53576</v>
      </c>
      <c r="I98" s="20" t="n">
        <v>50115</v>
      </c>
      <c r="J98" s="20" t="n">
        <v>46431</v>
      </c>
      <c r="K98" s="20" t="n">
        <v>52257</v>
      </c>
      <c r="L98" s="21" t="n">
        <f aca="false">SUM(H98:K98)</f>
        <v>202379</v>
      </c>
      <c r="M98" s="22" t="n">
        <v>3106</v>
      </c>
      <c r="N98" s="22" t="n">
        <v>2505</v>
      </c>
      <c r="O98" s="22" t="n">
        <v>2480</v>
      </c>
      <c r="P98" s="22" t="n">
        <v>2344</v>
      </c>
      <c r="Q98" s="23" t="n">
        <f aca="false">SUM(M98:P98)</f>
        <v>10435</v>
      </c>
      <c r="R98" s="39" t="s">
        <v>293</v>
      </c>
      <c r="S98" s="42" t="s">
        <v>84</v>
      </c>
    </row>
    <row r="99" customFormat="false" ht="15" hidden="false" customHeight="false" outlineLevel="0" collapsed="false">
      <c r="A99" s="13" t="s">
        <v>298</v>
      </c>
      <c r="B99" s="26" t="s">
        <v>299</v>
      </c>
      <c r="C99" s="32" t="s">
        <v>56</v>
      </c>
      <c r="D99" s="33" t="s">
        <v>39</v>
      </c>
      <c r="E99" s="58" t="s">
        <v>282</v>
      </c>
      <c r="F99" s="27" t="n">
        <v>100</v>
      </c>
      <c r="G99" s="28" t="n">
        <v>30</v>
      </c>
      <c r="H99" s="29" t="n">
        <v>55009</v>
      </c>
      <c r="I99" s="29" t="n">
        <v>50485</v>
      </c>
      <c r="J99" s="29" t="n">
        <v>47326</v>
      </c>
      <c r="K99" s="29" t="n">
        <v>57651</v>
      </c>
      <c r="L99" s="21" t="n">
        <f aca="false">SUM(H99:K99)</f>
        <v>210471</v>
      </c>
      <c r="M99" s="30" t="n">
        <v>2948</v>
      </c>
      <c r="N99" s="30" t="n">
        <v>2354</v>
      </c>
      <c r="O99" s="30" t="n">
        <v>2586</v>
      </c>
      <c r="P99" s="30" t="n">
        <v>2921</v>
      </c>
      <c r="Q99" s="23" t="n">
        <f aca="false">SUM(M99:P99)</f>
        <v>10809</v>
      </c>
      <c r="R99" s="31" t="s">
        <v>283</v>
      </c>
      <c r="S99" s="36" t="s">
        <v>45</v>
      </c>
    </row>
    <row r="100" customFormat="false" ht="15" hidden="false" customHeight="false" outlineLevel="0" collapsed="false">
      <c r="A100" s="13" t="s">
        <v>300</v>
      </c>
      <c r="B100" s="14" t="s">
        <v>301</v>
      </c>
      <c r="C100" s="32" t="s">
        <v>302</v>
      </c>
      <c r="D100" s="33" t="s">
        <v>39</v>
      </c>
      <c r="E100" s="58" t="s">
        <v>282</v>
      </c>
      <c r="F100" s="18" t="n">
        <v>100</v>
      </c>
      <c r="G100" s="19" t="n">
        <v>34</v>
      </c>
      <c r="H100" s="20" t="n">
        <v>29620</v>
      </c>
      <c r="I100" s="20" t="n">
        <v>33597</v>
      </c>
      <c r="J100" s="20" t="n">
        <v>32069</v>
      </c>
      <c r="K100" s="20" t="n">
        <v>37017</v>
      </c>
      <c r="L100" s="21" t="n">
        <f aca="false">SUM(H100:K100)</f>
        <v>132303</v>
      </c>
      <c r="M100" s="22" t="n">
        <v>1948</v>
      </c>
      <c r="N100" s="22" t="n">
        <v>2250</v>
      </c>
      <c r="O100" s="22" t="n">
        <v>2418</v>
      </c>
      <c r="P100" s="22" t="n">
        <v>2804</v>
      </c>
      <c r="Q100" s="23" t="n">
        <f aca="false">SUM(M100:P100)</f>
        <v>9420</v>
      </c>
      <c r="R100" s="39" t="s">
        <v>287</v>
      </c>
      <c r="S100" s="36" t="s">
        <v>45</v>
      </c>
    </row>
    <row r="101" customFormat="false" ht="15" hidden="false" customHeight="false" outlineLevel="0" collapsed="false">
      <c r="A101" s="13" t="s">
        <v>81</v>
      </c>
      <c r="B101" s="26" t="s">
        <v>303</v>
      </c>
      <c r="C101" s="15" t="s">
        <v>83</v>
      </c>
      <c r="D101" s="16" t="s">
        <v>28</v>
      </c>
      <c r="E101" s="58" t="s">
        <v>282</v>
      </c>
      <c r="F101" s="27" t="n">
        <v>100</v>
      </c>
      <c r="G101" s="28" t="n">
        <v>33</v>
      </c>
      <c r="H101" s="29" t="n">
        <v>24800</v>
      </c>
      <c r="I101" s="29" t="n">
        <v>25395</v>
      </c>
      <c r="J101" s="29" t="n">
        <v>26401</v>
      </c>
      <c r="K101" s="29" t="n">
        <v>30264</v>
      </c>
      <c r="L101" s="21" t="n">
        <f aca="false">SUM(H101:K101)</f>
        <v>106860</v>
      </c>
      <c r="M101" s="30" t="n">
        <v>1517</v>
      </c>
      <c r="N101" s="30" t="n">
        <v>1548</v>
      </c>
      <c r="O101" s="30" t="n">
        <v>1849</v>
      </c>
      <c r="P101" s="30" t="n">
        <v>2069</v>
      </c>
      <c r="Q101" s="23" t="n">
        <f aca="false">SUM(M101:P101)</f>
        <v>6983</v>
      </c>
      <c r="R101" s="31" t="s">
        <v>290</v>
      </c>
      <c r="S101" s="36" t="s">
        <v>45</v>
      </c>
    </row>
    <row r="102" customFormat="false" ht="15" hidden="false" customHeight="false" outlineLevel="0" collapsed="false">
      <c r="A102" s="13" t="s">
        <v>304</v>
      </c>
      <c r="B102" s="14" t="s">
        <v>305</v>
      </c>
      <c r="C102" s="45" t="s">
        <v>129</v>
      </c>
      <c r="D102" s="46" t="s">
        <v>130</v>
      </c>
      <c r="E102" s="59" t="s">
        <v>306</v>
      </c>
      <c r="F102" s="18" t="n">
        <v>85</v>
      </c>
      <c r="G102" s="19" t="n">
        <v>68</v>
      </c>
      <c r="H102" s="20" t="n">
        <v>7263</v>
      </c>
      <c r="I102" s="20" t="n">
        <v>8878</v>
      </c>
      <c r="J102" s="20" t="n">
        <v>11299</v>
      </c>
      <c r="K102" s="20" t="n">
        <v>12913</v>
      </c>
      <c r="L102" s="21" t="n">
        <f aca="false">SUM(H102:K102)</f>
        <v>40353</v>
      </c>
      <c r="M102" s="49" t="n">
        <v>-982</v>
      </c>
      <c r="N102" s="49" t="n">
        <v>-151</v>
      </c>
      <c r="O102" s="49" t="n">
        <v>-214</v>
      </c>
      <c r="P102" s="49" t="n">
        <v>-255</v>
      </c>
      <c r="Q102" s="23" t="n">
        <f aca="false">SUM(M102:P102)</f>
        <v>-1602</v>
      </c>
      <c r="R102" s="39" t="s">
        <v>307</v>
      </c>
      <c r="S102" s="56" t="s">
        <v>240</v>
      </c>
    </row>
    <row r="103" customFormat="false" ht="15" hidden="false" customHeight="false" outlineLevel="0" collapsed="false">
      <c r="A103" s="13" t="s">
        <v>308</v>
      </c>
      <c r="B103" s="26" t="s">
        <v>309</v>
      </c>
      <c r="C103" s="40" t="s">
        <v>203</v>
      </c>
      <c r="D103" s="41" t="s">
        <v>70</v>
      </c>
      <c r="E103" s="59" t="s">
        <v>306</v>
      </c>
      <c r="F103" s="27" t="n">
        <v>60</v>
      </c>
      <c r="G103" s="28" t="n">
        <v>56</v>
      </c>
      <c r="H103" s="29" t="n">
        <v>2657</v>
      </c>
      <c r="I103" s="29" t="n">
        <v>3248</v>
      </c>
      <c r="J103" s="29" t="n">
        <v>4134</v>
      </c>
      <c r="K103" s="29" t="n">
        <v>4725</v>
      </c>
      <c r="L103" s="21" t="n">
        <f aca="false">SUM(H103:K103)</f>
        <v>14764</v>
      </c>
      <c r="M103" s="48" t="n">
        <v>-167</v>
      </c>
      <c r="N103" s="30" t="n">
        <v>33</v>
      </c>
      <c r="O103" s="30" t="n">
        <v>55</v>
      </c>
      <c r="P103" s="30" t="n">
        <v>60</v>
      </c>
      <c r="Q103" s="23" t="n">
        <f aca="false">SUM(M103:P103)</f>
        <v>-19</v>
      </c>
      <c r="R103" s="31" t="s">
        <v>310</v>
      </c>
      <c r="S103" s="55" t="s">
        <v>228</v>
      </c>
    </row>
    <row r="104" customFormat="false" ht="15" hidden="false" customHeight="false" outlineLevel="0" collapsed="false">
      <c r="A104" s="13" t="s">
        <v>311</v>
      </c>
      <c r="B104" s="14" t="s">
        <v>312</v>
      </c>
      <c r="C104" s="40" t="s">
        <v>115</v>
      </c>
      <c r="D104" s="41" t="s">
        <v>70</v>
      </c>
      <c r="E104" s="59" t="s">
        <v>306</v>
      </c>
      <c r="F104" s="18" t="n">
        <v>100</v>
      </c>
      <c r="G104" s="19" t="n">
        <v>37</v>
      </c>
      <c r="H104" s="20" t="n">
        <v>7422</v>
      </c>
      <c r="I104" s="20" t="n">
        <v>9071</v>
      </c>
      <c r="J104" s="20" t="n">
        <v>11546</v>
      </c>
      <c r="K104" s="20" t="n">
        <v>13195</v>
      </c>
      <c r="L104" s="21" t="n">
        <f aca="false">SUM(H104:K104)</f>
        <v>41234</v>
      </c>
      <c r="M104" s="49" t="n">
        <v>-685</v>
      </c>
      <c r="N104" s="49" t="n">
        <v>-58</v>
      </c>
      <c r="O104" s="49" t="n">
        <v>-73</v>
      </c>
      <c r="P104" s="49" t="n">
        <v>-85</v>
      </c>
      <c r="Q104" s="23" t="n">
        <f aca="false">SUM(M104:P104)</f>
        <v>-901</v>
      </c>
      <c r="R104" s="39" t="s">
        <v>310</v>
      </c>
      <c r="S104" s="50" t="s">
        <v>167</v>
      </c>
    </row>
    <row r="105" customFormat="false" ht="15" hidden="false" customHeight="false" outlineLevel="0" collapsed="false">
      <c r="A105" s="13" t="s">
        <v>313</v>
      </c>
      <c r="B105" s="26" t="s">
        <v>314</v>
      </c>
      <c r="C105" s="40" t="s">
        <v>69</v>
      </c>
      <c r="D105" s="41" t="s">
        <v>70</v>
      </c>
      <c r="E105" s="59" t="s">
        <v>306</v>
      </c>
      <c r="F105" s="27" t="n">
        <v>100</v>
      </c>
      <c r="G105" s="28" t="n">
        <v>28</v>
      </c>
      <c r="H105" s="29" t="n">
        <v>3546</v>
      </c>
      <c r="I105" s="29" t="n">
        <v>4334</v>
      </c>
      <c r="J105" s="29" t="n">
        <v>5516</v>
      </c>
      <c r="K105" s="29" t="n">
        <v>6304</v>
      </c>
      <c r="L105" s="21" t="n">
        <f aca="false">SUM(H105:K105)</f>
        <v>19700</v>
      </c>
      <c r="M105" s="48" t="n">
        <v>-705</v>
      </c>
      <c r="N105" s="48" t="n">
        <v>-254</v>
      </c>
      <c r="O105" s="48" t="n">
        <v>-303</v>
      </c>
      <c r="P105" s="48" t="n">
        <v>-363</v>
      </c>
      <c r="Q105" s="23" t="n">
        <f aca="false">SUM(M105:P105)</f>
        <v>-1625</v>
      </c>
      <c r="R105" s="31" t="s">
        <v>307</v>
      </c>
      <c r="S105" s="50" t="s">
        <v>167</v>
      </c>
    </row>
    <row r="106" customFormat="false" ht="15" hidden="false" customHeight="false" outlineLevel="0" collapsed="false">
      <c r="A106" s="13" t="s">
        <v>315</v>
      </c>
      <c r="B106" s="14" t="s">
        <v>316</v>
      </c>
      <c r="C106" s="37" t="s">
        <v>106</v>
      </c>
      <c r="D106" s="38" t="s">
        <v>49</v>
      </c>
      <c r="E106" s="59" t="s">
        <v>306</v>
      </c>
      <c r="F106" s="18" t="n">
        <v>100</v>
      </c>
      <c r="G106" s="19" t="n">
        <v>41</v>
      </c>
      <c r="H106" s="20" t="n">
        <v>7949</v>
      </c>
      <c r="I106" s="20" t="n">
        <v>9716</v>
      </c>
      <c r="J106" s="20" t="n">
        <v>12366</v>
      </c>
      <c r="K106" s="20" t="n">
        <v>14133</v>
      </c>
      <c r="L106" s="21" t="n">
        <f aca="false">SUM(H106:K106)</f>
        <v>44164</v>
      </c>
      <c r="M106" s="49" t="n">
        <v>-1568</v>
      </c>
      <c r="N106" s="49" t="n">
        <v>-643</v>
      </c>
      <c r="O106" s="49" t="n">
        <v>-788</v>
      </c>
      <c r="P106" s="49" t="n">
        <v>-910</v>
      </c>
      <c r="Q106" s="23" t="n">
        <f aca="false">SUM(M106:P106)</f>
        <v>-3909</v>
      </c>
      <c r="R106" s="39" t="s">
        <v>307</v>
      </c>
      <c r="S106" s="56" t="s">
        <v>240</v>
      </c>
    </row>
    <row r="107" customFormat="false" ht="15" hidden="false" customHeight="false" outlineLevel="0" collapsed="false">
      <c r="A107" s="13" t="s">
        <v>317</v>
      </c>
      <c r="B107" s="26" t="s">
        <v>318</v>
      </c>
      <c r="C107" s="43" t="s">
        <v>122</v>
      </c>
      <c r="D107" s="44" t="s">
        <v>123</v>
      </c>
      <c r="E107" s="59" t="s">
        <v>306</v>
      </c>
      <c r="F107" s="27" t="n">
        <v>100</v>
      </c>
      <c r="G107" s="28" t="n">
        <v>95</v>
      </c>
      <c r="H107" s="29" t="n">
        <v>6615</v>
      </c>
      <c r="I107" s="29" t="n">
        <v>8085</v>
      </c>
      <c r="J107" s="29" t="n">
        <v>10290</v>
      </c>
      <c r="K107" s="29" t="n">
        <v>11760</v>
      </c>
      <c r="L107" s="21" t="n">
        <f aca="false">SUM(H107:K107)</f>
        <v>36750</v>
      </c>
      <c r="M107" s="48" t="n">
        <v>-1287</v>
      </c>
      <c r="N107" s="48" t="n">
        <v>-442</v>
      </c>
      <c r="O107" s="48" t="n">
        <v>-591</v>
      </c>
      <c r="P107" s="48" t="n">
        <v>-604</v>
      </c>
      <c r="Q107" s="23" t="n">
        <f aca="false">SUM(M107:P107)</f>
        <v>-2924</v>
      </c>
      <c r="R107" s="31" t="s">
        <v>319</v>
      </c>
      <c r="S107" s="56" t="s">
        <v>240</v>
      </c>
    </row>
    <row r="108" customFormat="false" ht="15" hidden="false" customHeight="false" outlineLevel="0" collapsed="false">
      <c r="A108" s="13" t="s">
        <v>320</v>
      </c>
      <c r="B108" s="14" t="s">
        <v>321</v>
      </c>
      <c r="C108" s="34" t="s">
        <v>100</v>
      </c>
      <c r="D108" s="35" t="s">
        <v>43</v>
      </c>
      <c r="E108" s="59" t="s">
        <v>306</v>
      </c>
      <c r="F108" s="18" t="n">
        <v>51</v>
      </c>
      <c r="G108" s="19" t="n">
        <v>58</v>
      </c>
      <c r="H108" s="20" t="n">
        <v>5789</v>
      </c>
      <c r="I108" s="20" t="n">
        <v>7076</v>
      </c>
      <c r="J108" s="20" t="n">
        <v>9006</v>
      </c>
      <c r="K108" s="20" t="n">
        <v>10292</v>
      </c>
      <c r="L108" s="21" t="n">
        <f aca="false">SUM(H108:K108)</f>
        <v>32163</v>
      </c>
      <c r="M108" s="49" t="n">
        <v>-892</v>
      </c>
      <c r="N108" s="49" t="n">
        <v>-507</v>
      </c>
      <c r="O108" s="49" t="n">
        <v>-672</v>
      </c>
      <c r="P108" s="49" t="n">
        <v>-777</v>
      </c>
      <c r="Q108" s="23" t="n">
        <f aca="false">SUM(M108:P108)</f>
        <v>-2848</v>
      </c>
      <c r="R108" s="39" t="s">
        <v>307</v>
      </c>
      <c r="S108" s="55" t="s">
        <v>228</v>
      </c>
    </row>
    <row r="109" customFormat="false" ht="15" hidden="false" customHeight="false" outlineLevel="0" collapsed="false">
      <c r="A109" s="13" t="s">
        <v>322</v>
      </c>
      <c r="B109" s="26" t="s">
        <v>323</v>
      </c>
      <c r="C109" s="45" t="s">
        <v>133</v>
      </c>
      <c r="D109" s="46" t="s">
        <v>130</v>
      </c>
      <c r="E109" s="59" t="s">
        <v>306</v>
      </c>
      <c r="F109" s="27" t="n">
        <v>100</v>
      </c>
      <c r="G109" s="28" t="n">
        <v>28</v>
      </c>
      <c r="H109" s="29" t="n">
        <v>755</v>
      </c>
      <c r="I109" s="29" t="n">
        <v>922</v>
      </c>
      <c r="J109" s="29" t="n">
        <v>1174</v>
      </c>
      <c r="K109" s="29" t="n">
        <v>1342</v>
      </c>
      <c r="L109" s="21" t="n">
        <f aca="false">SUM(H109:K109)</f>
        <v>4193</v>
      </c>
      <c r="M109" s="48" t="n">
        <v>-150</v>
      </c>
      <c r="N109" s="48" t="n">
        <v>-10</v>
      </c>
      <c r="O109" s="48" t="n">
        <v>-14</v>
      </c>
      <c r="P109" s="48" t="n">
        <v>-18</v>
      </c>
      <c r="Q109" s="23" t="n">
        <f aca="false">SUM(M109:P109)</f>
        <v>-192</v>
      </c>
      <c r="R109" s="31" t="s">
        <v>324</v>
      </c>
      <c r="S109" s="55" t="s">
        <v>228</v>
      </c>
    </row>
    <row r="110" customFormat="false" ht="15" hidden="false" customHeight="false" outlineLevel="0" collapsed="false">
      <c r="A110" s="13" t="s">
        <v>325</v>
      </c>
      <c r="B110" s="14" t="s">
        <v>326</v>
      </c>
      <c r="C110" s="15" t="s">
        <v>286</v>
      </c>
      <c r="D110" s="16" t="s">
        <v>28</v>
      </c>
      <c r="E110" s="59" t="s">
        <v>306</v>
      </c>
      <c r="F110" s="18" t="n">
        <v>100</v>
      </c>
      <c r="G110" s="19" t="n">
        <v>59</v>
      </c>
      <c r="H110" s="20" t="n">
        <v>6249</v>
      </c>
      <c r="I110" s="20" t="n">
        <v>7638</v>
      </c>
      <c r="J110" s="20" t="n">
        <v>9721</v>
      </c>
      <c r="K110" s="20" t="n">
        <v>11109</v>
      </c>
      <c r="L110" s="21" t="n">
        <f aca="false">SUM(H110:K110)</f>
        <v>34717</v>
      </c>
      <c r="M110" s="49" t="n">
        <v>-486</v>
      </c>
      <c r="N110" s="22" t="n">
        <v>345</v>
      </c>
      <c r="O110" s="22" t="n">
        <v>419</v>
      </c>
      <c r="P110" s="22" t="n">
        <v>481</v>
      </c>
      <c r="Q110" s="23" t="n">
        <f aca="false">SUM(M110:P110)</f>
        <v>759</v>
      </c>
      <c r="R110" s="39" t="s">
        <v>307</v>
      </c>
      <c r="S110" s="50" t="s">
        <v>167</v>
      </c>
    </row>
    <row r="111" customFormat="false" ht="15" hidden="false" customHeight="false" outlineLevel="0" collapsed="false">
      <c r="A111" s="13" t="s">
        <v>327</v>
      </c>
      <c r="B111" s="26" t="s">
        <v>328</v>
      </c>
      <c r="C111" s="15" t="s">
        <v>27</v>
      </c>
      <c r="D111" s="16" t="s">
        <v>28</v>
      </c>
      <c r="E111" s="59" t="s">
        <v>306</v>
      </c>
      <c r="F111" s="27" t="n">
        <v>100</v>
      </c>
      <c r="G111" s="28" t="n">
        <v>88</v>
      </c>
      <c r="H111" s="29" t="n">
        <v>1585</v>
      </c>
      <c r="I111" s="29" t="n">
        <v>1937</v>
      </c>
      <c r="J111" s="29" t="n">
        <v>2466</v>
      </c>
      <c r="K111" s="29" t="n">
        <v>2818</v>
      </c>
      <c r="L111" s="21" t="n">
        <f aca="false">SUM(H111:K111)</f>
        <v>8806</v>
      </c>
      <c r="M111" s="48" t="n">
        <v>-123</v>
      </c>
      <c r="N111" s="48" t="n">
        <v>-38</v>
      </c>
      <c r="O111" s="48" t="n">
        <v>-50</v>
      </c>
      <c r="P111" s="48" t="n">
        <v>-66</v>
      </c>
      <c r="Q111" s="23" t="n">
        <f aca="false">SUM(M111:P111)</f>
        <v>-277</v>
      </c>
      <c r="R111" s="31" t="s">
        <v>310</v>
      </c>
      <c r="S111" s="50" t="s">
        <v>167</v>
      </c>
    </row>
    <row r="112" customFormat="false" ht="15" hidden="false" customHeight="false" outlineLevel="0" collapsed="false">
      <c r="A112" s="13" t="s">
        <v>264</v>
      </c>
      <c r="B112" s="14" t="s">
        <v>329</v>
      </c>
      <c r="C112" s="34" t="s">
        <v>42</v>
      </c>
      <c r="D112" s="35" t="s">
        <v>43</v>
      </c>
      <c r="E112" s="60" t="s">
        <v>330</v>
      </c>
      <c r="F112" s="18" t="n">
        <v>51</v>
      </c>
      <c r="G112" s="19" t="n">
        <v>21</v>
      </c>
      <c r="H112" s="20" t="n">
        <v>543</v>
      </c>
      <c r="I112" s="20" t="n">
        <v>663</v>
      </c>
      <c r="J112" s="20" t="n">
        <v>844</v>
      </c>
      <c r="K112" s="20" t="n">
        <v>965</v>
      </c>
      <c r="L112" s="21" t="n">
        <f aca="false">SUM(H112:K112)</f>
        <v>3015</v>
      </c>
      <c r="M112" s="49" t="n">
        <v>-48</v>
      </c>
      <c r="N112" s="49" t="n">
        <v>-101</v>
      </c>
      <c r="O112" s="49" t="n">
        <v>-148</v>
      </c>
      <c r="P112" s="49" t="n">
        <v>-164</v>
      </c>
      <c r="Q112" s="23" t="n">
        <f aca="false">SUM(M112:P112)</f>
        <v>-461</v>
      </c>
      <c r="R112" s="24" t="s">
        <v>331</v>
      </c>
      <c r="S112" s="56" t="s">
        <v>240</v>
      </c>
    </row>
    <row r="113" customFormat="false" ht="15" hidden="false" customHeight="false" outlineLevel="0" collapsed="false">
      <c r="A113" s="13" t="s">
        <v>267</v>
      </c>
      <c r="B113" s="26" t="s">
        <v>332</v>
      </c>
      <c r="C113" s="45" t="s">
        <v>129</v>
      </c>
      <c r="D113" s="46" t="s">
        <v>130</v>
      </c>
      <c r="E113" s="60" t="s">
        <v>330</v>
      </c>
      <c r="F113" s="27" t="n">
        <v>100</v>
      </c>
      <c r="G113" s="28" t="n">
        <v>33</v>
      </c>
      <c r="H113" s="29" t="n">
        <v>890</v>
      </c>
      <c r="I113" s="29" t="n">
        <v>1088</v>
      </c>
      <c r="J113" s="29" t="n">
        <v>1385</v>
      </c>
      <c r="K113" s="29" t="n">
        <v>1583</v>
      </c>
      <c r="L113" s="21" t="n">
        <f aca="false">SUM(H113:K113)</f>
        <v>4946</v>
      </c>
      <c r="M113" s="48" t="n">
        <v>-159</v>
      </c>
      <c r="N113" s="48" t="n">
        <v>-88</v>
      </c>
      <c r="O113" s="48" t="n">
        <v>-111</v>
      </c>
      <c r="P113" s="48" t="n">
        <v>-147</v>
      </c>
      <c r="Q113" s="23" t="n">
        <f aca="false">SUM(M113:P113)</f>
        <v>-505</v>
      </c>
      <c r="R113" s="31" t="s">
        <v>333</v>
      </c>
      <c r="S113" s="56" t="s">
        <v>240</v>
      </c>
    </row>
    <row r="114" customFormat="false" ht="15" hidden="false" customHeight="false" outlineLevel="0" collapsed="false">
      <c r="A114" s="13" t="s">
        <v>334</v>
      </c>
      <c r="B114" s="14" t="s">
        <v>335</v>
      </c>
      <c r="C114" s="15" t="s">
        <v>80</v>
      </c>
      <c r="D114" s="16" t="s">
        <v>28</v>
      </c>
      <c r="E114" s="60" t="s">
        <v>330</v>
      </c>
      <c r="F114" s="18" t="n">
        <v>80</v>
      </c>
      <c r="G114" s="19" t="n">
        <v>27</v>
      </c>
      <c r="H114" s="20" t="n">
        <v>832</v>
      </c>
      <c r="I114" s="20" t="n">
        <v>1017</v>
      </c>
      <c r="J114" s="20" t="n">
        <v>1295</v>
      </c>
      <c r="K114" s="20" t="n">
        <v>1480</v>
      </c>
      <c r="L114" s="21" t="n">
        <f aca="false">SUM(H114:K114)</f>
        <v>4624</v>
      </c>
      <c r="M114" s="49" t="n">
        <v>-159</v>
      </c>
      <c r="N114" s="49" t="n">
        <v>-84</v>
      </c>
      <c r="O114" s="49" t="n">
        <v>-104</v>
      </c>
      <c r="P114" s="49" t="n">
        <v>-144</v>
      </c>
      <c r="Q114" s="23" t="n">
        <f aca="false">SUM(M114:P114)</f>
        <v>-491</v>
      </c>
      <c r="R114" s="39" t="s">
        <v>333</v>
      </c>
      <c r="S114" s="56" t="s">
        <v>240</v>
      </c>
    </row>
    <row r="115" customFormat="false" ht="15" hidden="false" customHeight="false" outlineLevel="0" collapsed="false">
      <c r="A115" s="13" t="s">
        <v>336</v>
      </c>
      <c r="B115" s="26" t="s">
        <v>337</v>
      </c>
      <c r="C115" s="15" t="s">
        <v>338</v>
      </c>
      <c r="D115" s="16" t="s">
        <v>28</v>
      </c>
      <c r="E115" s="60" t="s">
        <v>330</v>
      </c>
      <c r="F115" s="27" t="n">
        <v>100</v>
      </c>
      <c r="G115" s="28" t="n">
        <v>38</v>
      </c>
      <c r="H115" s="29" t="n">
        <v>373</v>
      </c>
      <c r="I115" s="29" t="n">
        <v>456</v>
      </c>
      <c r="J115" s="29" t="n">
        <v>580</v>
      </c>
      <c r="K115" s="29" t="n">
        <v>663</v>
      </c>
      <c r="L115" s="21" t="n">
        <f aca="false">SUM(H115:K115)</f>
        <v>2072</v>
      </c>
      <c r="M115" s="48" t="n">
        <v>-60</v>
      </c>
      <c r="N115" s="48" t="n">
        <v>-29</v>
      </c>
      <c r="O115" s="48" t="n">
        <v>-31</v>
      </c>
      <c r="P115" s="48" t="n">
        <v>-37</v>
      </c>
      <c r="Q115" s="23" t="n">
        <f aca="false">SUM(M115:P115)</f>
        <v>-157</v>
      </c>
      <c r="R115" s="31" t="s">
        <v>339</v>
      </c>
      <c r="S115" s="56" t="s">
        <v>240</v>
      </c>
    </row>
    <row r="116" customFormat="false" ht="15" hidden="false" customHeight="false" outlineLevel="0" collapsed="false">
      <c r="A116" s="13" t="s">
        <v>340</v>
      </c>
      <c r="B116" s="14" t="s">
        <v>341</v>
      </c>
      <c r="C116" s="34" t="s">
        <v>100</v>
      </c>
      <c r="D116" s="35" t="s">
        <v>43</v>
      </c>
      <c r="E116" s="60" t="s">
        <v>330</v>
      </c>
      <c r="F116" s="18" t="n">
        <v>100</v>
      </c>
      <c r="G116" s="19" t="n">
        <v>38</v>
      </c>
      <c r="H116" s="20" t="n">
        <v>409</v>
      </c>
      <c r="I116" s="20" t="n">
        <v>500</v>
      </c>
      <c r="J116" s="20" t="n">
        <v>637</v>
      </c>
      <c r="K116" s="20" t="n">
        <v>728</v>
      </c>
      <c r="L116" s="21" t="n">
        <f aca="false">SUM(H116:K116)</f>
        <v>2274</v>
      </c>
      <c r="M116" s="49" t="n">
        <v>-31</v>
      </c>
      <c r="N116" s="49" t="n">
        <v>-17</v>
      </c>
      <c r="O116" s="49" t="n">
        <v>-18</v>
      </c>
      <c r="P116" s="49" t="n">
        <v>-22</v>
      </c>
      <c r="Q116" s="23" t="n">
        <f aca="false">SUM(M116:P116)</f>
        <v>-88</v>
      </c>
      <c r="R116" s="24" t="s">
        <v>331</v>
      </c>
      <c r="S116" s="50" t="s">
        <v>167</v>
      </c>
    </row>
    <row r="117" customFormat="false" ht="15" hidden="false" customHeight="false" outlineLevel="0" collapsed="false">
      <c r="A117" s="13" t="s">
        <v>342</v>
      </c>
      <c r="B117" s="26" t="s">
        <v>343</v>
      </c>
      <c r="C117" s="32" t="s">
        <v>38</v>
      </c>
      <c r="D117" s="33" t="s">
        <v>39</v>
      </c>
      <c r="E117" s="60" t="s">
        <v>330</v>
      </c>
      <c r="F117" s="27" t="n">
        <v>100</v>
      </c>
      <c r="G117" s="28" t="n">
        <v>38</v>
      </c>
      <c r="H117" s="29" t="n">
        <v>465</v>
      </c>
      <c r="I117" s="29" t="n">
        <v>568</v>
      </c>
      <c r="J117" s="29" t="n">
        <v>723</v>
      </c>
      <c r="K117" s="29" t="n">
        <v>827</v>
      </c>
      <c r="L117" s="21" t="n">
        <f aca="false">SUM(H117:K117)</f>
        <v>2583</v>
      </c>
      <c r="M117" s="48" t="n">
        <v>-91</v>
      </c>
      <c r="N117" s="48" t="n">
        <v>-101</v>
      </c>
      <c r="O117" s="48" t="n">
        <v>-127</v>
      </c>
      <c r="P117" s="48" t="n">
        <v>-161</v>
      </c>
      <c r="Q117" s="23" t="n">
        <f aca="false">SUM(M117:P117)</f>
        <v>-480</v>
      </c>
      <c r="R117" s="31" t="s">
        <v>333</v>
      </c>
      <c r="S117" s="56" t="s">
        <v>240</v>
      </c>
    </row>
    <row r="118" customFormat="false" ht="15" hidden="false" customHeight="false" outlineLevel="0" collapsed="false">
      <c r="A118" s="13" t="s">
        <v>344</v>
      </c>
      <c r="B118" s="14" t="s">
        <v>345</v>
      </c>
      <c r="C118" s="15" t="s">
        <v>346</v>
      </c>
      <c r="D118" s="16" t="s">
        <v>28</v>
      </c>
      <c r="E118" s="60" t="s">
        <v>330</v>
      </c>
      <c r="F118" s="18" t="n">
        <v>100</v>
      </c>
      <c r="G118" s="19" t="n">
        <v>40</v>
      </c>
      <c r="H118" s="20" t="n">
        <v>139</v>
      </c>
      <c r="I118" s="20" t="n">
        <v>170</v>
      </c>
      <c r="J118" s="20" t="n">
        <v>216</v>
      </c>
      <c r="K118" s="20" t="n">
        <v>247</v>
      </c>
      <c r="L118" s="21" t="n">
        <f aca="false">SUM(H118:K118)</f>
        <v>772</v>
      </c>
      <c r="M118" s="49" t="n">
        <v>-7</v>
      </c>
      <c r="N118" s="49" t="n">
        <v>-11</v>
      </c>
      <c r="O118" s="49" t="n">
        <v>-14</v>
      </c>
      <c r="P118" s="49" t="n">
        <v>-17</v>
      </c>
      <c r="Q118" s="23" t="n">
        <f aca="false">SUM(M118:P118)</f>
        <v>-49</v>
      </c>
      <c r="R118" s="24" t="s">
        <v>347</v>
      </c>
      <c r="S118" s="55" t="s">
        <v>228</v>
      </c>
    </row>
    <row r="119" customFormat="false" ht="15" hidden="false" customHeight="false" outlineLevel="0" collapsed="false">
      <c r="A119" s="13" t="s">
        <v>348</v>
      </c>
      <c r="B119" s="26" t="s">
        <v>349</v>
      </c>
      <c r="C119" s="32" t="s">
        <v>136</v>
      </c>
      <c r="D119" s="33" t="s">
        <v>39</v>
      </c>
      <c r="E119" s="60" t="s">
        <v>330</v>
      </c>
      <c r="F119" s="27" t="n">
        <v>100</v>
      </c>
      <c r="G119" s="28" t="n">
        <v>25</v>
      </c>
      <c r="H119" s="29" t="n">
        <v>789</v>
      </c>
      <c r="I119" s="29" t="n">
        <v>964</v>
      </c>
      <c r="J119" s="29" t="n">
        <v>1227</v>
      </c>
      <c r="K119" s="29" t="n">
        <v>1403</v>
      </c>
      <c r="L119" s="21" t="n">
        <f aca="false">SUM(H119:K119)</f>
        <v>4383</v>
      </c>
      <c r="M119" s="48" t="n">
        <v>-122</v>
      </c>
      <c r="N119" s="48" t="n">
        <v>-87</v>
      </c>
      <c r="O119" s="48" t="n">
        <v>-116</v>
      </c>
      <c r="P119" s="48" t="n">
        <v>-124</v>
      </c>
      <c r="Q119" s="23" t="n">
        <f aca="false">SUM(M119:P119)</f>
        <v>-449</v>
      </c>
      <c r="R119" s="53" t="s">
        <v>331</v>
      </c>
      <c r="S119" s="56" t="s">
        <v>240</v>
      </c>
    </row>
    <row r="120" customFormat="false" ht="15" hidden="false" customHeight="false" outlineLevel="0" collapsed="false">
      <c r="A120" s="13" t="s">
        <v>238</v>
      </c>
      <c r="B120" s="14" t="s">
        <v>350</v>
      </c>
      <c r="C120" s="32" t="s">
        <v>174</v>
      </c>
      <c r="D120" s="33" t="s">
        <v>39</v>
      </c>
      <c r="E120" s="60" t="s">
        <v>330</v>
      </c>
      <c r="F120" s="18" t="n">
        <v>100</v>
      </c>
      <c r="G120" s="19" t="n">
        <v>38</v>
      </c>
      <c r="H120" s="20" t="n">
        <v>49</v>
      </c>
      <c r="I120" s="20" t="n">
        <v>60</v>
      </c>
      <c r="J120" s="20" t="n">
        <v>76</v>
      </c>
      <c r="K120" s="20" t="n">
        <v>87</v>
      </c>
      <c r="L120" s="21" t="n">
        <f aca="false">SUM(H120:K120)</f>
        <v>272</v>
      </c>
      <c r="M120" s="49" t="n">
        <v>-5</v>
      </c>
      <c r="N120" s="49" t="n">
        <v>-11</v>
      </c>
      <c r="O120" s="49" t="n">
        <v>-13</v>
      </c>
      <c r="P120" s="49" t="n">
        <v>-14</v>
      </c>
      <c r="Q120" s="23" t="n">
        <f aca="false">SUM(M120:P120)</f>
        <v>-43</v>
      </c>
      <c r="R120" s="39" t="s">
        <v>339</v>
      </c>
      <c r="S120" s="50" t="s">
        <v>167</v>
      </c>
    </row>
    <row r="121" customFormat="false" ht="15" hidden="false" customHeight="false" outlineLevel="0" collapsed="false">
      <c r="A121" s="13" t="s">
        <v>351</v>
      </c>
      <c r="B121" s="26" t="s">
        <v>352</v>
      </c>
      <c r="C121" s="43" t="s">
        <v>122</v>
      </c>
      <c r="D121" s="44" t="s">
        <v>123</v>
      </c>
      <c r="E121" s="60" t="s">
        <v>330</v>
      </c>
      <c r="F121" s="27" t="n">
        <v>100</v>
      </c>
      <c r="G121" s="28" t="n">
        <v>18</v>
      </c>
      <c r="H121" s="29" t="n">
        <v>423</v>
      </c>
      <c r="I121" s="29" t="n">
        <v>517</v>
      </c>
      <c r="J121" s="29" t="n">
        <v>658</v>
      </c>
      <c r="K121" s="29" t="n">
        <v>752</v>
      </c>
      <c r="L121" s="21" t="n">
        <f aca="false">SUM(H121:K121)</f>
        <v>2350</v>
      </c>
      <c r="M121" s="48" t="n">
        <v>-52</v>
      </c>
      <c r="N121" s="48" t="n">
        <v>-23</v>
      </c>
      <c r="O121" s="48" t="n">
        <v>-25</v>
      </c>
      <c r="P121" s="48" t="n">
        <v>-25</v>
      </c>
      <c r="Q121" s="23" t="n">
        <f aca="false">SUM(M121:P121)</f>
        <v>-125</v>
      </c>
      <c r="R121" s="53" t="s">
        <v>347</v>
      </c>
      <c r="S121" s="50" t="s">
        <v>167</v>
      </c>
    </row>
    <row r="122" customFormat="false" ht="15" hidden="false" customHeight="false" outlineLevel="0" collapsed="false">
      <c r="A122" s="13" t="s">
        <v>353</v>
      </c>
      <c r="B122" s="14" t="s">
        <v>354</v>
      </c>
      <c r="C122" s="37" t="s">
        <v>76</v>
      </c>
      <c r="D122" s="38" t="s">
        <v>49</v>
      </c>
      <c r="E122" s="58" t="s">
        <v>282</v>
      </c>
      <c r="F122" s="18" t="n">
        <v>100</v>
      </c>
      <c r="G122" s="19" t="n">
        <v>34</v>
      </c>
      <c r="H122" s="20" t="n">
        <v>27503</v>
      </c>
      <c r="I122" s="20" t="n">
        <v>26273</v>
      </c>
      <c r="J122" s="20" t="n">
        <v>24912</v>
      </c>
      <c r="K122" s="20" t="n">
        <v>25753</v>
      </c>
      <c r="L122" s="21" t="n">
        <f aca="false">SUM(H122:K122)</f>
        <v>104441</v>
      </c>
      <c r="M122" s="22" t="n">
        <v>1350</v>
      </c>
      <c r="N122" s="22" t="n">
        <v>1462</v>
      </c>
      <c r="O122" s="22" t="n">
        <v>1275</v>
      </c>
      <c r="P122" s="22" t="n">
        <v>1207</v>
      </c>
      <c r="Q122" s="23" t="n">
        <f aca="false">SUM(M122:P122)</f>
        <v>5294</v>
      </c>
      <c r="R122" s="39" t="s">
        <v>293</v>
      </c>
      <c r="S122" s="25" t="s">
        <v>31</v>
      </c>
    </row>
    <row r="123" customFormat="false" ht="15" hidden="false" customHeight="false" outlineLevel="0" collapsed="false">
      <c r="A123" s="13" t="s">
        <v>355</v>
      </c>
      <c r="B123" s="26" t="s">
        <v>356</v>
      </c>
      <c r="C123" s="37" t="s">
        <v>48</v>
      </c>
      <c r="D123" s="38" t="s">
        <v>49</v>
      </c>
      <c r="E123" s="58" t="s">
        <v>282</v>
      </c>
      <c r="F123" s="27" t="n">
        <v>100</v>
      </c>
      <c r="G123" s="28" t="n">
        <v>25</v>
      </c>
      <c r="H123" s="29" t="n">
        <v>37828</v>
      </c>
      <c r="I123" s="29" t="n">
        <v>40169</v>
      </c>
      <c r="J123" s="29" t="n">
        <v>38437</v>
      </c>
      <c r="K123" s="29" t="n">
        <v>36787</v>
      </c>
      <c r="L123" s="21" t="n">
        <f aca="false">SUM(H123:K123)</f>
        <v>153221</v>
      </c>
      <c r="M123" s="30" t="n">
        <v>2161</v>
      </c>
      <c r="N123" s="30" t="n">
        <v>1942</v>
      </c>
      <c r="O123" s="30" t="n">
        <v>1678</v>
      </c>
      <c r="P123" s="30" t="n">
        <v>1968</v>
      </c>
      <c r="Q123" s="23" t="n">
        <f aca="false">SUM(M123:P123)</f>
        <v>7749</v>
      </c>
      <c r="R123" s="31" t="s">
        <v>287</v>
      </c>
      <c r="S123" s="42" t="s">
        <v>84</v>
      </c>
    </row>
    <row r="124" customFormat="false" ht="15" hidden="false" customHeight="false" outlineLevel="0" collapsed="false">
      <c r="A124" s="13" t="s">
        <v>357</v>
      </c>
      <c r="B124" s="14" t="s">
        <v>358</v>
      </c>
      <c r="C124" s="40" t="s">
        <v>359</v>
      </c>
      <c r="D124" s="41" t="s">
        <v>70</v>
      </c>
      <c r="E124" s="52" t="s">
        <v>185</v>
      </c>
      <c r="F124" s="18" t="n">
        <v>100</v>
      </c>
      <c r="G124" s="19" t="n">
        <v>155</v>
      </c>
      <c r="H124" s="20" t="n">
        <v>70604</v>
      </c>
      <c r="I124" s="20" t="n">
        <v>70783</v>
      </c>
      <c r="J124" s="20" t="n">
        <v>69977</v>
      </c>
      <c r="K124" s="20" t="n">
        <v>75840</v>
      </c>
      <c r="L124" s="21" t="n">
        <f aca="false">SUM(H124:K124)</f>
        <v>287204</v>
      </c>
      <c r="M124" s="49" t="n">
        <v>-2560</v>
      </c>
      <c r="N124" s="49" t="n">
        <v>-2215</v>
      </c>
      <c r="O124" s="49" t="n">
        <v>-2729</v>
      </c>
      <c r="P124" s="49" t="n">
        <v>-2453</v>
      </c>
      <c r="Q124" s="23" t="n">
        <f aca="false">SUM(M124:P124)</f>
        <v>-9957</v>
      </c>
      <c r="R124" s="39" t="s">
        <v>213</v>
      </c>
      <c r="S124" s="42" t="s">
        <v>84</v>
      </c>
    </row>
    <row r="125" customFormat="false" ht="15" hidden="false" customHeight="false" outlineLevel="0" collapsed="false">
      <c r="A125" s="13" t="s">
        <v>360</v>
      </c>
      <c r="B125" s="26" t="s">
        <v>361</v>
      </c>
      <c r="C125" s="15" t="s">
        <v>346</v>
      </c>
      <c r="D125" s="16" t="s">
        <v>28</v>
      </c>
      <c r="E125" s="52" t="s">
        <v>185</v>
      </c>
      <c r="F125" s="27" t="n">
        <v>100</v>
      </c>
      <c r="G125" s="28" t="n">
        <v>134</v>
      </c>
      <c r="H125" s="29" t="n">
        <v>45704</v>
      </c>
      <c r="I125" s="29" t="n">
        <v>56594</v>
      </c>
      <c r="J125" s="29" t="n">
        <v>52093</v>
      </c>
      <c r="K125" s="29" t="n">
        <v>61629</v>
      </c>
      <c r="L125" s="21" t="n">
        <f aca="false">SUM(H125:K125)</f>
        <v>216020</v>
      </c>
      <c r="M125" s="48" t="n">
        <v>-1879</v>
      </c>
      <c r="N125" s="48" t="n">
        <v>-2445</v>
      </c>
      <c r="O125" s="48" t="n">
        <v>-2144</v>
      </c>
      <c r="P125" s="48" t="n">
        <v>-2509</v>
      </c>
      <c r="Q125" s="23" t="n">
        <f aca="false">SUM(M125:P125)</f>
        <v>-8977</v>
      </c>
      <c r="R125" s="31" t="s">
        <v>186</v>
      </c>
      <c r="S125" s="36" t="s">
        <v>45</v>
      </c>
    </row>
  </sheetData>
  <mergeCells count="6">
    <mergeCell ref="A1:R1"/>
    <mergeCell ref="A2:R2"/>
    <mergeCell ref="A4:G4"/>
    <mergeCell ref="H4:L4"/>
    <mergeCell ref="M4:Q4"/>
    <mergeCell ref="R4:S4"/>
  </mergeCells>
  <conditionalFormatting sqref="L6:L125">
    <cfRule type="dataBar" priority="2">
      <dataBar showValue="1" minLength="10" maxLength="90">
        <cfvo type="min" val="0"/>
        <cfvo type="max" val="0"/>
        <color rgb="FF7E57C2"/>
      </dataBar>
      <extLst>
        <ext xmlns:x14="http://schemas.microsoft.com/office/spreadsheetml/2009/9/main" uri="{B025F937-C7B1-47D3-B67F-A62EFF666E3E}">
          <x14:id>{4D7FBCB7-6464-4962-801C-CBD192D987CD}</x14:id>
        </ext>
      </extLst>
    </cfRule>
  </conditionalFormatting>
  <conditionalFormatting sqref="Q6:Q125">
    <cfRule type="colorScale" priority="3">
      <colorScale>
        <cfvo type="min" val="0"/>
        <cfvo type="num" val="0"/>
        <cfvo type="max" val="0"/>
        <color rgb="FFFFCDD2"/>
        <color rgb="FFFFF59D"/>
        <color rgb="FFA5D6A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7FBCB7-6464-4962-801C-CBD192D987CD}">
            <x14:dataBar minLength="10" maxLength="90" axisPosition="none" gradient="true">
              <x14:cfvo type="min"/>
              <x14:cfvo type="max"/>
              <x14:negativeFillColor rgb="FF7E57C2"/>
              <x14:axisColor rgb="FF000000"/>
            </x14:dataBar>
          </x14:cfRule>
          <xm:sqref>L6:L125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3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6" min="5" style="0" width="16"/>
  </cols>
  <sheetData>
    <row r="1" customFormat="false" ht="37.5" hidden="false" customHeight="true" outlineLevel="0" collapsed="false">
      <c r="A1" s="61" t="s">
        <v>362</v>
      </c>
      <c r="B1" s="61"/>
      <c r="C1" s="61"/>
      <c r="D1" s="61"/>
      <c r="E1" s="61"/>
      <c r="F1" s="61"/>
    </row>
    <row r="3" customFormat="false" ht="36" hidden="false" customHeight="true" outlineLevel="0" collapsed="false">
      <c r="A3" s="62" t="s">
        <v>9</v>
      </c>
      <c r="B3" s="62" t="s">
        <v>363</v>
      </c>
      <c r="C3" s="62" t="s">
        <v>364</v>
      </c>
      <c r="D3" s="62" t="s">
        <v>365</v>
      </c>
      <c r="E3" s="62" t="s">
        <v>366</v>
      </c>
      <c r="F3" s="62" t="s">
        <v>367</v>
      </c>
    </row>
    <row r="4" customFormat="false" ht="15" hidden="false" customHeight="false" outlineLevel="0" collapsed="false">
      <c r="A4" s="63" t="s">
        <v>28</v>
      </c>
      <c r="B4" s="64" t="n">
        <f aca="false">COUNTIF(해외법인_2026!D6:D125,"유럽")</f>
        <v>24</v>
      </c>
      <c r="C4" s="65" t="n">
        <f aca="false">SUMIF(해외법인_2026!D6:D125,"유럽",해외법인_2026!L6:L125)</f>
        <v>3698739</v>
      </c>
      <c r="D4" s="65" t="n">
        <f aca="false">SUMIF(해외법인_2026!D6:D125,"유럽",해외법인_2026!Q6:Q125)</f>
        <v>176586</v>
      </c>
      <c r="E4" s="66" t="n">
        <f aca="false">IFERROR(D4/C4,0)</f>
        <v>0.0477422170096349</v>
      </c>
      <c r="F4" s="67" t="n">
        <f aca="false">AVERAGEIF(해외법인_2026!D6:D125,"유럽",해외법인_2026!G6:G125)</f>
        <v>89.3333333333333</v>
      </c>
    </row>
    <row r="5" customFormat="false" ht="15" hidden="false" customHeight="false" outlineLevel="0" collapsed="false">
      <c r="A5" s="68" t="s">
        <v>39</v>
      </c>
      <c r="B5" s="64" t="n">
        <f aca="false">COUNTIF(해외법인_2026!D6:D125,"아시아")</f>
        <v>43</v>
      </c>
      <c r="C5" s="65" t="n">
        <f aca="false">SUMIF(해외법인_2026!D6:D125,"아시아",해외법인_2026!L6:L125)</f>
        <v>7137075</v>
      </c>
      <c r="D5" s="65" t="n">
        <f aca="false">SUMIF(해외법인_2026!D6:D125,"아시아",해외법인_2026!Q6:Q125)</f>
        <v>363723</v>
      </c>
      <c r="E5" s="66" t="n">
        <f aca="false">IFERROR(D5/C5,0)</f>
        <v>0.0509624741228024</v>
      </c>
      <c r="F5" s="67" t="n">
        <f aca="false">AVERAGEIF(해외법인_2026!D6:D125,"아시아",해외법인_2026!G6:G125)</f>
        <v>143.325581395349</v>
      </c>
    </row>
    <row r="6" customFormat="false" ht="15" hidden="false" customHeight="false" outlineLevel="0" collapsed="false">
      <c r="A6" s="69" t="s">
        <v>43</v>
      </c>
      <c r="B6" s="64" t="n">
        <f aca="false">COUNTIF(해외법인_2026!D6:D125,"북미")</f>
        <v>10</v>
      </c>
      <c r="C6" s="65" t="n">
        <f aca="false">SUMIF(해외법인_2026!D6:D125,"북미",해외법인_2026!L6:L125)</f>
        <v>1278848</v>
      </c>
      <c r="D6" s="65" t="n">
        <f aca="false">SUMIF(해외법인_2026!D6:D125,"북미",해외법인_2026!Q6:Q125)</f>
        <v>77242</v>
      </c>
      <c r="E6" s="66" t="n">
        <f aca="false">IFERROR(D6/C6,0)</f>
        <v>0.0603996722049845</v>
      </c>
      <c r="F6" s="67" t="n">
        <f aca="false">AVERAGEIF(해외법인_2026!D6:D125,"북미",해외법인_2026!G6:G125)</f>
        <v>135.7</v>
      </c>
    </row>
    <row r="7" customFormat="false" ht="15" hidden="false" customHeight="false" outlineLevel="0" collapsed="false">
      <c r="A7" s="70" t="s">
        <v>49</v>
      </c>
      <c r="B7" s="64" t="n">
        <f aca="false">COUNTIF(해외법인_2026!D6:D125,"중남미")</f>
        <v>17</v>
      </c>
      <c r="C7" s="65" t="n">
        <f aca="false">SUMIF(해외법인_2026!D6:D125,"중남미",해외법인_2026!L6:L125)</f>
        <v>2540089</v>
      </c>
      <c r="D7" s="65" t="n">
        <f aca="false">SUMIF(해외법인_2026!D6:D125,"중남미",해외법인_2026!Q6:Q125)</f>
        <v>121797</v>
      </c>
      <c r="E7" s="66" t="n">
        <f aca="false">IFERROR(D7/C7,0)</f>
        <v>0.0479498946690451</v>
      </c>
      <c r="F7" s="67" t="n">
        <f aca="false">AVERAGEIF(해외법인_2026!D6:D125,"중남미",해외법인_2026!G6:G125)</f>
        <v>91</v>
      </c>
    </row>
    <row r="8" customFormat="false" ht="15" hidden="false" customHeight="false" outlineLevel="0" collapsed="false">
      <c r="A8" s="71" t="s">
        <v>70</v>
      </c>
      <c r="B8" s="64" t="n">
        <f aca="false">COUNTIF(해외법인_2026!D6:D125,"중동")</f>
        <v>10</v>
      </c>
      <c r="C8" s="65" t="n">
        <f aca="false">SUMIF(해외법인_2026!D6:D125,"중동",해외법인_2026!L6:L125)</f>
        <v>1443774</v>
      </c>
      <c r="D8" s="65" t="n">
        <f aca="false">SUMIF(해외법인_2026!D6:D125,"중동",해외법인_2026!Q6:Q125)</f>
        <v>60601</v>
      </c>
      <c r="E8" s="66" t="n">
        <f aca="false">IFERROR(D8/C8,0)</f>
        <v>0.0419740208647614</v>
      </c>
      <c r="F8" s="67" t="n">
        <f aca="false">AVERAGEIF(해외법인_2026!D6:D125,"중동",해외법인_2026!G6:G125)</f>
        <v>121</v>
      </c>
    </row>
    <row r="9" customFormat="false" ht="15" hidden="false" customHeight="false" outlineLevel="0" collapsed="false">
      <c r="A9" s="72" t="s">
        <v>130</v>
      </c>
      <c r="B9" s="64" t="n">
        <f aca="false">COUNTIF(해외법인_2026!D6:D125,"대양주")</f>
        <v>9</v>
      </c>
      <c r="C9" s="65" t="n">
        <f aca="false">SUMIF(해외법인_2026!D6:D125,"대양주",해외법인_2026!L6:L125)</f>
        <v>1021659</v>
      </c>
      <c r="D9" s="65" t="n">
        <f aca="false">SUMIF(해외법인_2026!D6:D125,"대양주",해외법인_2026!Q6:Q125)</f>
        <v>64606</v>
      </c>
      <c r="E9" s="66" t="n">
        <f aca="false">IFERROR(D9/C9,0)</f>
        <v>0.0632363636007709</v>
      </c>
      <c r="F9" s="67" t="n">
        <f aca="false">AVERAGEIF(해외법인_2026!D6:D125,"대양주",해외법인_2026!G6:G125)</f>
        <v>145.555555555556</v>
      </c>
    </row>
    <row r="10" customFormat="false" ht="15" hidden="false" customHeight="false" outlineLevel="0" collapsed="false">
      <c r="A10" s="73" t="s">
        <v>123</v>
      </c>
      <c r="B10" s="64" t="n">
        <f aca="false">COUNTIF(해외법인_2026!D6:D125,"아프리카")</f>
        <v>7</v>
      </c>
      <c r="C10" s="65" t="n">
        <f aca="false">SUMIF(해외법인_2026!D6:D125,"아프리카",해외법인_2026!L6:L125)</f>
        <v>1068009</v>
      </c>
      <c r="D10" s="65" t="n">
        <f aca="false">SUMIF(해외법인_2026!D6:D125,"아프리카",해외법인_2026!Q6:Q125)</f>
        <v>68406</v>
      </c>
      <c r="E10" s="66" t="n">
        <f aca="false">IFERROR(D10/C10,0)</f>
        <v>0.064050022050376</v>
      </c>
      <c r="F10" s="67" t="n">
        <f aca="false">AVERAGEIF(해외법인_2026!D6:D125,"아프리카",해외법인_2026!G6:G125)</f>
        <v>107.428571428571</v>
      </c>
    </row>
    <row r="11" customFormat="false" ht="31.5" hidden="false" customHeight="true" outlineLevel="0" collapsed="false">
      <c r="A11" s="74" t="s">
        <v>368</v>
      </c>
      <c r="B11" s="75" t="n">
        <f aca="false">SUM(B4:B10)</f>
        <v>120</v>
      </c>
      <c r="C11" s="76" t="n">
        <f aca="false">SUM(C4:C10)</f>
        <v>18188193</v>
      </c>
      <c r="D11" s="76" t="n">
        <f aca="false">SUM(D4:D10)</f>
        <v>932961</v>
      </c>
      <c r="E11" s="77" t="n">
        <f aca="false">IFERROR(D11/C11,0)</f>
        <v>0.0512948702490676</v>
      </c>
      <c r="F11" s="78" t="n">
        <f aca="false">AVERAGE(F4:F10)</f>
        <v>119.049005958973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2026-05-05T10:58:45Z</dcterms:created>
  <dc:creator>openpyxl</dc:creator>
  <dc:description/>
  <dc:language>en-US</dc:language>
  <cp:lastModifiedBy/>
  <dcterms:modified xsi:type="dcterms:W3CDTF">2026-05-05T10:58:45Z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
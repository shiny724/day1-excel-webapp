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발전소_2026" sheetId="1" state="visible" r:id="rId3"/>
    <sheet name="📈 사업유형_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<sst xmlns="http://schemas.openxmlformats.org/spreadsheetml/2006/main" count="1920" uniqueCount="108">
  <si>
    <r>
      <rPr>
        <b val="true"/>
        <sz val="22"/>
        <color rgb="FFFFFFFF"/>
        <rFont val="DejaVu Sans"/>
        <family val="2"/>
      </rPr>
      <t xml:space="preserve">⚡ 발전소별 월간운영 실적 </t>
    </r>
    <r>
      <rPr>
        <b val="true"/>
        <sz val="22"/>
        <color rgb="FFFFFFFF"/>
        <rFont val="맑은 고딕"/>
        <family val="0"/>
        <charset val="1"/>
      </rPr>
      <t xml:space="preserve">(2026)</t>
    </r>
  </si>
  <si>
    <t xml:space="preserve">🔥 Power Plant Monthly Operations Dashboard — Generation · Capacity Factor · Emissions</t>
  </si>
  <si>
    <t xml:space="preserve">월</t>
  </si>
  <si>
    <t xml:space="preserve">발전소명</t>
  </si>
  <si>
    <t xml:space="preserve">사업유형</t>
  </si>
  <si>
    <r>
      <rPr>
        <b val="true"/>
        <sz val="11"/>
        <color rgb="FFFFFFFF"/>
        <rFont val="DejaVu Sans"/>
        <family val="2"/>
      </rPr>
      <t xml:space="preserve">설비용량</t>
    </r>
    <r>
      <rPr>
        <b val="true"/>
        <sz val="11"/>
        <color rgb="FFFFFFFF"/>
        <rFont val="맑은 고딕"/>
        <family val="0"/>
        <charset val="1"/>
      </rPr>
      <t xml:space="preserve">(MW)</t>
    </r>
  </si>
  <si>
    <r>
      <rPr>
        <b val="true"/>
        <sz val="11"/>
        <color rgb="FFFFFFFF"/>
        <rFont val="DejaVu Sans"/>
        <family val="2"/>
      </rPr>
      <t xml:space="preserve">발전량</t>
    </r>
    <r>
      <rPr>
        <b val="true"/>
        <sz val="11"/>
        <color rgb="FFFFFFFF"/>
        <rFont val="맑은 고딕"/>
        <family val="0"/>
        <charset val="1"/>
      </rPr>
      <t xml:space="preserve">(MWh)</t>
    </r>
  </si>
  <si>
    <r>
      <rPr>
        <b val="true"/>
        <sz val="11"/>
        <color rgb="FFFFFFFF"/>
        <rFont val="DejaVu Sans"/>
        <family val="2"/>
      </rPr>
      <t xml:space="preserve">가동률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</si>
  <si>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연료소비</t>
    </r>
    <r>
      <rPr>
        <b val="true"/>
        <sz val="11"/>
        <color rgb="FFFFFFFF"/>
        <rFont val="맑은 고딕"/>
        <family val="0"/>
        <charset val="1"/>
      </rPr>
      <t xml:space="preserve">(TJ)</t>
    </r>
  </si>
  <si>
    <r>
      <rPr>
        <b val="true"/>
        <sz val="11"/>
        <color rgb="FFFFFFFF"/>
        <rFont val="DejaVu Sans"/>
        <family val="2"/>
      </rPr>
      <t xml:space="preserve">온실가스</t>
    </r>
    <r>
      <rPr>
        <b val="true"/>
        <sz val="11"/>
        <color rgb="FFFFFFFF"/>
        <rFont val="맑은 고딕"/>
        <family val="0"/>
        <charset val="1"/>
      </rPr>
      <t xml:space="preserve">(tCO₂)</t>
    </r>
  </si>
  <si>
    <r>
      <rPr>
        <b val="true"/>
        <sz val="11"/>
        <color rgb="FFFFFFFF"/>
        <rFont val="DejaVu Sans"/>
        <family val="2"/>
      </rPr>
      <t xml:space="preserve">단위연료</t>
    </r>
    <r>
      <rPr>
        <b val="true"/>
        <sz val="11"/>
        <color rgb="FFFFFFFF"/>
        <rFont val="맑은 고딕"/>
        <family val="0"/>
        <charset val="1"/>
      </rPr>
      <t xml:space="preserve">(MJ/kWh)</t>
    </r>
  </si>
  <si>
    <t xml:space="preserve">효율등급</t>
  </si>
  <si>
    <t xml:space="preserve">주요이슈</t>
  </si>
  <si>
    <t xml:space="preserve">운영상태</t>
  </si>
  <si>
    <t xml:space="preserve">2026-01</t>
  </si>
  <si>
    <r>
      <rPr>
        <b val="true"/>
        <sz val="10"/>
        <color rgb="FF3E2723"/>
        <rFont val="DejaVu Sans"/>
        <family val="2"/>
      </rPr>
      <t xml:space="preserve">인천</t>
    </r>
    <r>
      <rPr>
        <b val="true"/>
        <sz val="10"/>
        <color rgb="FF3E2723"/>
        <rFont val="맑은 고딕"/>
        <family val="0"/>
        <charset val="1"/>
      </rPr>
      <t xml:space="preserve">LNG 1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</si>
  <si>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LNG</t>
  </si>
  <si>
    <t xml:space="preserve">동절기 가동</t>
  </si>
  <si>
    <t xml:space="preserve">초과가동</t>
  </si>
  <si>
    <r>
      <rPr>
        <b val="true"/>
        <sz val="10"/>
        <color rgb="FF3E2723"/>
        <rFont val="DejaVu Sans"/>
        <family val="2"/>
      </rPr>
      <t xml:space="preserve">인천</t>
    </r>
    <r>
      <rPr>
        <b val="true"/>
        <sz val="10"/>
        <color rgb="FF3E2723"/>
        <rFont val="맑은 고딕"/>
        <family val="0"/>
        <charset val="1"/>
      </rPr>
      <t xml:space="preserve">LNG 2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</si>
  <si>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정상가동</t>
  </si>
  <si>
    <t xml:space="preserve">정상</t>
  </si>
  <si>
    <r>
      <rPr>
        <b val="true"/>
        <sz val="10"/>
        <color rgb="FF3E2723"/>
        <rFont val="DejaVu Sans"/>
        <family val="2"/>
      </rPr>
      <t xml:space="preserve">인천</t>
    </r>
    <r>
      <rPr>
        <b val="true"/>
        <sz val="10"/>
        <color rgb="FF3E2723"/>
        <rFont val="맑은 고딕"/>
        <family val="0"/>
        <charset val="1"/>
      </rPr>
      <t xml:space="preserve">LNG 3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</si>
  <si>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여름 진입</t>
  </si>
  <si>
    <r>
      <rPr>
        <b val="true"/>
        <sz val="10"/>
        <color rgb="FF3E2723"/>
        <rFont val="DejaVu Sans"/>
        <family val="2"/>
      </rPr>
      <t xml:space="preserve">인천</t>
    </r>
    <r>
      <rPr>
        <b val="true"/>
        <sz val="10"/>
        <color rgb="FF3E2723"/>
        <rFont val="맑은 고딕"/>
        <family val="0"/>
        <charset val="1"/>
      </rPr>
      <t xml:space="preserve">LNG 4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</si>
  <si>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인천</t>
    </r>
    <r>
      <rPr>
        <b val="true"/>
        <sz val="10"/>
        <color rgb="FF3E2723"/>
        <rFont val="맑은 고딕"/>
        <family val="0"/>
        <charset val="1"/>
      </rPr>
      <t xml:space="preserve">LNG 5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</si>
  <si>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수요 정점</t>
  </si>
  <si>
    <t xml:space="preserve">안정</t>
  </si>
  <si>
    <r>
      <rPr>
        <b val="true"/>
        <sz val="10"/>
        <color rgb="FF3E2723"/>
        <rFont val="DejaVu Sans"/>
        <family val="2"/>
      </rPr>
      <t xml:space="preserve">광양</t>
    </r>
    <r>
      <rPr>
        <b val="true"/>
        <sz val="10"/>
        <color rgb="FF3E2723"/>
        <rFont val="맑은 고딕"/>
        <family val="0"/>
        <charset val="1"/>
      </rPr>
      <t xml:space="preserve">LNG 1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</si>
  <si>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광양</t>
    </r>
    <r>
      <rPr>
        <b val="true"/>
        <sz val="10"/>
        <color rgb="FF3E2723"/>
        <rFont val="맑은 고딕"/>
        <family val="0"/>
        <charset val="1"/>
      </rPr>
      <t xml:space="preserve">LNG 2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</si>
  <si>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혹서기 정점</t>
  </si>
  <si>
    <r>
      <rPr>
        <b val="true"/>
        <sz val="10"/>
        <color rgb="FF3E2723"/>
        <rFont val="DejaVu Sans"/>
        <family val="2"/>
      </rPr>
      <t xml:space="preserve">광양</t>
    </r>
    <r>
      <rPr>
        <b val="true"/>
        <sz val="10"/>
        <color rgb="FF3E2723"/>
        <rFont val="맑은 고딕"/>
        <family val="0"/>
        <charset val="1"/>
      </rPr>
      <t xml:space="preserve">LNG 3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</si>
  <si>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기저부하 운영</t>
  </si>
  <si>
    <t xml:space="preserve">최적운영</t>
  </si>
  <si>
    <r>
      <rPr>
        <b val="true"/>
        <sz val="10"/>
        <color rgb="FF3E2723"/>
        <rFont val="DejaVu Sans"/>
        <family val="2"/>
      </rPr>
      <t xml:space="preserve">광양</t>
    </r>
    <r>
      <rPr>
        <b val="true"/>
        <sz val="10"/>
        <color rgb="FF3E2723"/>
        <rFont val="맑은 고딕"/>
        <family val="0"/>
        <charset val="1"/>
      </rPr>
      <t xml:space="preserve">LNG 4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</si>
  <si>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정기점검 완료</t>
  </si>
  <si>
    <t xml:space="preserve">정기점검</t>
  </si>
  <si>
    <r>
      <rPr>
        <b val="true"/>
        <sz val="10"/>
        <color rgb="FF3E2723"/>
        <rFont val="DejaVu Sans"/>
        <family val="2"/>
      </rPr>
      <t xml:space="preserve">평택</t>
    </r>
    <r>
      <rPr>
        <b val="true"/>
        <sz val="10"/>
        <color rgb="FF3E2723"/>
        <rFont val="맑은 고딕"/>
        <family val="0"/>
        <charset val="1"/>
      </rPr>
      <t xml:space="preserve">LNG 1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</si>
  <si>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혹한기 정점</t>
  </si>
  <si>
    <r>
      <rPr>
        <b val="true"/>
        <sz val="10"/>
        <color rgb="FF3E2723"/>
        <rFont val="DejaVu Sans"/>
        <family val="2"/>
      </rPr>
      <t xml:space="preserve">평택</t>
    </r>
    <r>
      <rPr>
        <b val="true"/>
        <sz val="10"/>
        <color rgb="FF3E2723"/>
        <rFont val="맑은 고딕"/>
        <family val="0"/>
        <charset val="1"/>
      </rPr>
      <t xml:space="preserve">LNG 2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</si>
  <si>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평택</t>
    </r>
    <r>
      <rPr>
        <b val="true"/>
        <sz val="10"/>
        <color rgb="FF3E2723"/>
        <rFont val="맑은 고딕"/>
        <family val="0"/>
        <charset val="1"/>
      </rPr>
      <t xml:space="preserve">LNG 3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</si>
  <si>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보령</t>
    </r>
    <r>
      <rPr>
        <b val="true"/>
        <sz val="10"/>
        <color rgb="FF3E2723"/>
        <rFont val="맑은 고딕"/>
        <family val="0"/>
        <charset val="1"/>
      </rPr>
      <t xml:space="preserve">LNG 1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</si>
  <si>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보령</t>
    </r>
    <r>
      <rPr>
        <b val="true"/>
        <sz val="10"/>
        <color rgb="FF3E2723"/>
        <rFont val="맑은 고딕"/>
        <family val="0"/>
        <charset val="1"/>
      </rPr>
      <t xml:space="preserve">LNG 2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</si>
  <si>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b val="true"/>
        <sz val="10"/>
        <color rgb="FF3E2723"/>
        <rFont val="DejaVu Sans"/>
        <family val="2"/>
      </rPr>
      <t xml:space="preserve">동해</t>
    </r>
    <r>
      <rPr>
        <b val="true"/>
        <sz val="10"/>
        <color rgb="FF3E2723"/>
        <rFont val="맑은 고딕"/>
        <family val="0"/>
        <charset val="1"/>
      </rPr>
      <t xml:space="preserve">LNG 1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</si>
  <si>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안정 가동</t>
  </si>
  <si>
    <t xml:space="preserve">PT.KPE</t>
  </si>
  <si>
    <t xml:space="preserve">부생가스</t>
  </si>
  <si>
    <t xml:space="preserve">정상 가동</t>
  </si>
  <si>
    <r>
      <rPr>
        <b val="true"/>
        <sz val="10"/>
        <color rgb="FF3E2723"/>
        <rFont val="맑은 고딕"/>
        <family val="0"/>
        <charset val="1"/>
      </rPr>
      <t xml:space="preserve">PT.KPE 2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</si>
  <si>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효율 개선</t>
  </si>
  <si>
    <r>
      <rPr>
        <b val="true"/>
        <sz val="10"/>
        <color rgb="FF3E2723"/>
        <rFont val="DejaVu Sans"/>
        <family val="2"/>
      </rPr>
      <t xml:space="preserve">신안 해상풍력 </t>
    </r>
    <r>
      <rPr>
        <b val="true"/>
        <sz val="10"/>
        <color rgb="FF3E2723"/>
        <rFont val="맑은 고딕"/>
        <family val="0"/>
        <charset val="1"/>
      </rPr>
      <t xml:space="preserve">1</t>
    </r>
    <r>
      <rPr>
        <b val="true"/>
        <sz val="10"/>
        <color rgb="FF3E2723"/>
        <rFont val="DejaVu Sans"/>
        <family val="2"/>
      </rPr>
      <t xml:space="preserve">단계</t>
    </r>
  </si>
  <si>
    <t xml:space="preserve">재생</t>
  </si>
  <si>
    <t xml:space="preserve">여름 풍속 약화</t>
  </si>
  <si>
    <r>
      <rPr>
        <b val="true"/>
        <sz val="10"/>
        <color rgb="FF3E2723"/>
        <rFont val="DejaVu Sans"/>
        <family val="2"/>
      </rPr>
      <t xml:space="preserve">신안 해상풍력 </t>
    </r>
    <r>
      <rPr>
        <b val="true"/>
        <sz val="10"/>
        <color rgb="FF3E2723"/>
        <rFont val="맑은 고딕"/>
        <family val="0"/>
        <charset val="1"/>
      </rPr>
      <t xml:space="preserve">2</t>
    </r>
    <r>
      <rPr>
        <b val="true"/>
        <sz val="10"/>
        <color rgb="FF3E2723"/>
        <rFont val="DejaVu Sans"/>
        <family val="2"/>
      </rPr>
      <t xml:space="preserve">단계</t>
    </r>
  </si>
  <si>
    <r>
      <rPr>
        <i val="true"/>
        <sz val="9"/>
        <color rgb="FF5D4037"/>
        <rFont val="맑은 고딕"/>
        <family val="0"/>
        <charset val="1"/>
      </rPr>
      <t xml:space="preserve">ESS </t>
    </r>
    <r>
      <rPr>
        <i val="true"/>
        <sz val="9"/>
        <color rgb="FF5D4037"/>
        <rFont val="DejaVu Sans"/>
        <family val="2"/>
      </rPr>
      <t xml:space="preserve">연계</t>
    </r>
  </si>
  <si>
    <t xml:space="preserve">영덕 해상풍력</t>
  </si>
  <si>
    <r>
      <rPr>
        <i val="true"/>
        <sz val="9"/>
        <color rgb="FF5D4037"/>
        <rFont val="맑은 고딕"/>
        <family val="0"/>
        <charset val="1"/>
      </rPr>
      <t xml:space="preserve">REC </t>
    </r>
    <r>
      <rPr>
        <i val="true"/>
        <sz val="9"/>
        <color rgb="FF5D4037"/>
        <rFont val="DejaVu Sans"/>
        <family val="2"/>
      </rPr>
      <t xml:space="preserve">인증 갱신</t>
    </r>
  </si>
  <si>
    <t xml:space="preserve">제주 해상풍력</t>
  </si>
  <si>
    <t xml:space="preserve">강원 육상풍력</t>
  </si>
  <si>
    <t xml:space="preserve">울주 태양광</t>
  </si>
  <si>
    <t xml:space="preserve">겨울 풍속 양호</t>
  </si>
  <si>
    <t xml:space="preserve">새만금 태양광</t>
  </si>
  <si>
    <t xml:space="preserve">영광 태양광</t>
  </si>
  <si>
    <t xml:space="preserve">가을 풍속 회복</t>
  </si>
  <si>
    <t xml:space="preserve">군산 태양광</t>
  </si>
  <si>
    <t xml:space="preserve">일조량 정점</t>
  </si>
  <si>
    <t xml:space="preserve">해남 태양광</t>
  </si>
  <si>
    <t xml:space="preserve">신규 가동</t>
  </si>
  <si>
    <r>
      <rPr>
        <b val="true"/>
        <sz val="10"/>
        <color rgb="FF3E2723"/>
        <rFont val="DejaVu Sans"/>
        <family val="2"/>
      </rPr>
      <t xml:space="preserve">서산 수소혼소 </t>
    </r>
    <r>
      <rPr>
        <b val="true"/>
        <sz val="10"/>
        <color rgb="FF3E2723"/>
        <rFont val="맑은 고딕"/>
        <family val="0"/>
        <charset val="1"/>
      </rPr>
      <t xml:space="preserve">1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</si>
  <si>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수소혼소</t>
  </si>
  <si>
    <t xml:space="preserve">혼소율 상향</t>
  </si>
  <si>
    <r>
      <rPr>
        <b val="true"/>
        <sz val="10"/>
        <color rgb="FF3E2723"/>
        <rFont val="DejaVu Sans"/>
        <family val="2"/>
      </rPr>
      <t xml:space="preserve">서산 수소혼소 </t>
    </r>
    <r>
      <rPr>
        <b val="true"/>
        <sz val="10"/>
        <color rgb="FF3E2723"/>
        <rFont val="맑은 고딕"/>
        <family val="0"/>
        <charset val="1"/>
      </rPr>
      <t xml:space="preserve">2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</si>
  <si>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i val="true"/>
        <sz val="9"/>
        <color rgb="FF5D4037"/>
        <rFont val="DejaVu Sans"/>
        <family val="2"/>
      </rPr>
      <t xml:space="preserve">탄소저감 </t>
    </r>
    <r>
      <rPr>
        <i val="true"/>
        <sz val="9"/>
        <color rgb="FF5D4037"/>
        <rFont val="맑은 고딕"/>
        <family val="0"/>
        <charset val="1"/>
      </rPr>
      <t xml:space="preserve">18%</t>
    </r>
  </si>
  <si>
    <r>
      <rPr>
        <b val="true"/>
        <sz val="10"/>
        <color rgb="FF3E2723"/>
        <rFont val="DejaVu Sans"/>
        <family val="2"/>
      </rPr>
      <t xml:space="preserve">인천 </t>
    </r>
    <r>
      <rPr>
        <b val="true"/>
        <sz val="10"/>
        <color rgb="FF3E2723"/>
        <rFont val="맑은 고딕"/>
        <family val="0"/>
        <charset val="1"/>
      </rPr>
      <t xml:space="preserve">ESS 1</t>
    </r>
    <r>
      <rPr>
        <b val="true"/>
        <sz val="10"/>
        <color rgb="FF3E2723"/>
        <rFont val="DejaVu Sans"/>
        <family val="2"/>
      </rPr>
      <t xml:space="preserve">호기</t>
    </r>
  </si>
  <si>
    <t xml:space="preserve">ESS</t>
  </si>
  <si>
    <t xml:space="preserve">안전점검 완료</t>
  </si>
  <si>
    <r>
      <rPr>
        <b val="true"/>
        <sz val="10"/>
        <color rgb="FF3E2723"/>
        <rFont val="DejaVu Sans"/>
        <family val="2"/>
      </rPr>
      <t xml:space="preserve">인천 </t>
    </r>
    <r>
      <rPr>
        <b val="true"/>
        <sz val="10"/>
        <color rgb="FF3E2723"/>
        <rFont val="맑은 고딕"/>
        <family val="0"/>
        <charset val="1"/>
      </rPr>
      <t xml:space="preserve">ESS 2</t>
    </r>
    <r>
      <rPr>
        <b val="true"/>
        <sz val="10"/>
        <color rgb="FF3E2723"/>
        <rFont val="DejaVu Sans"/>
        <family val="2"/>
      </rPr>
      <t xml:space="preserve">호기</t>
    </r>
  </si>
  <si>
    <r>
      <rPr>
        <i val="true"/>
        <sz val="9"/>
        <color rgb="FF5D4037"/>
        <rFont val="DejaVu Sans"/>
        <family val="2"/>
      </rPr>
      <t xml:space="preserve">충방전 </t>
    </r>
    <r>
      <rPr>
        <i val="true"/>
        <sz val="9"/>
        <color rgb="FF5D4037"/>
        <rFont val="맑은 고딕"/>
        <family val="0"/>
        <charset val="1"/>
      </rPr>
      <t xml:space="preserve">99.2%</t>
    </r>
  </si>
  <si>
    <r>
      <rPr>
        <b val="true"/>
        <sz val="10"/>
        <color rgb="FF3E2723"/>
        <rFont val="DejaVu Sans"/>
        <family val="2"/>
      </rPr>
      <t xml:space="preserve">평택 </t>
    </r>
    <r>
      <rPr>
        <b val="true"/>
        <sz val="10"/>
        <color rgb="FF3E2723"/>
        <rFont val="맑은 고딕"/>
        <family val="0"/>
        <charset val="1"/>
      </rPr>
      <t xml:space="preserve">ESS</t>
    </r>
  </si>
  <si>
    <r>
      <rPr>
        <i val="true"/>
        <sz val="9"/>
        <color rgb="FF5D4037"/>
        <rFont val="맑은 고딕"/>
        <family val="0"/>
        <charset val="1"/>
      </rPr>
      <t xml:space="preserve">REC </t>
    </r>
    <r>
      <rPr>
        <i val="true"/>
        <sz val="9"/>
        <color rgb="FF5D4037"/>
        <rFont val="DejaVu Sans"/>
        <family val="2"/>
      </rPr>
      <t xml:space="preserve">발급 완료</t>
    </r>
  </si>
  <si>
    <t xml:space="preserve">2026-02</t>
  </si>
  <si>
    <r>
      <rPr>
        <i val="true"/>
        <sz val="9"/>
        <color rgb="FF5D4037"/>
        <rFont val="맑은 고딕"/>
        <family val="0"/>
        <charset val="1"/>
      </rPr>
      <t xml:space="preserve">POSCO </t>
    </r>
    <r>
      <rPr>
        <i val="true"/>
        <sz val="9"/>
        <color rgb="FF5D4037"/>
        <rFont val="DejaVu Sans"/>
        <family val="2"/>
      </rPr>
      <t xml:space="preserve">연계</t>
    </r>
  </si>
  <si>
    <t xml:space="preserve">태풍 영향</t>
  </si>
  <si>
    <r>
      <rPr>
        <i val="true"/>
        <sz val="9"/>
        <color rgb="FF5D4037"/>
        <rFont val="DejaVu Sans"/>
        <family val="2"/>
      </rPr>
      <t xml:space="preserve">수소 </t>
    </r>
    <r>
      <rPr>
        <i val="true"/>
        <sz val="9"/>
        <color rgb="FF5D4037"/>
        <rFont val="맑은 고딕"/>
        <family val="0"/>
        <charset val="1"/>
      </rPr>
      <t xml:space="preserve">30% </t>
    </r>
    <r>
      <rPr>
        <i val="true"/>
        <sz val="9"/>
        <color rgb="FF5D4037"/>
        <rFont val="DejaVu Sans"/>
        <family val="2"/>
      </rPr>
      <t xml:space="preserve">혼소</t>
    </r>
  </si>
  <si>
    <t xml:space="preserve">피크저감 효율 우수</t>
  </si>
  <si>
    <t xml:space="preserve">2026-03</t>
  </si>
  <si>
    <t xml:space="preserve">초과 가동</t>
  </si>
  <si>
    <t xml:space="preserve">인니 일관제철소</t>
  </si>
  <si>
    <t xml:space="preserve">일조량 감소</t>
  </si>
  <si>
    <t xml:space="preserve">주파수 조정 운영</t>
  </si>
  <si>
    <t xml:space="preserve">2026-04</t>
  </si>
  <si>
    <t xml:space="preserve">2026-05</t>
  </si>
  <si>
    <t xml:space="preserve">안정적 공급</t>
  </si>
  <si>
    <t xml:space="preserve">2026-06</t>
  </si>
  <si>
    <t xml:space="preserve">실증 가동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</si>
  <si>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</si>
  <si>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</si>
  <si>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</si>
  <si>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</si>
  <si>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</si>
  <si>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</si>
  <si>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r>
      <rPr>
        <b val="true"/>
        <sz val="18"/>
        <color rgb="FFFFFFFF"/>
        <rFont val="DejaVu Sans"/>
        <family val="2"/>
      </rPr>
      <t xml:space="preserve">⚡ 사업유형별 연간 요약 </t>
    </r>
    <r>
      <rPr>
        <b val="true"/>
        <sz val="18"/>
        <color rgb="FFFFFFFF"/>
        <rFont val="맑은 고딕"/>
        <family val="0"/>
        <charset val="1"/>
      </rPr>
      <t xml:space="preserve">(2026)</t>
    </r>
  </si>
  <si>
    <t xml:space="preserve">발전소 수</t>
  </si>
  <si>
    <r>
      <rPr>
        <b val="true"/>
        <sz val="11"/>
        <color rgb="FFFFFFFF"/>
        <rFont val="DejaVu Sans"/>
        <family val="2"/>
      </rPr>
      <t xml:space="preserve">총 설비용량</t>
    </r>
    <r>
      <rPr>
        <b val="true"/>
        <sz val="11"/>
        <color rgb="FFFFFFFF"/>
        <rFont val="맑은 고딕"/>
        <family val="0"/>
        <charset val="1"/>
      </rPr>
      <t xml:space="preserve">(MW)</t>
    </r>
  </si>
  <si>
    <r>
      <rPr>
        <b val="true"/>
        <sz val="11"/>
        <color rgb="FFFFFFFF"/>
        <rFont val="DejaVu Sans"/>
        <family val="2"/>
      </rPr>
      <t xml:space="preserve">연간 발전량</t>
    </r>
    <r>
      <rPr>
        <b val="true"/>
        <sz val="11"/>
        <color rgb="FFFFFFFF"/>
        <rFont val="맑은 고딕"/>
        <family val="0"/>
        <charset val="1"/>
      </rPr>
      <t xml:space="preserve">(MWh)</t>
    </r>
  </si>
  <si>
    <r>
      <rPr>
        <b val="true"/>
        <sz val="11"/>
        <color rgb="FFFFFFFF"/>
        <rFont val="DejaVu Sans"/>
        <family val="2"/>
      </rPr>
      <t xml:space="preserve">연간 온실가스</t>
    </r>
    <r>
      <rPr>
        <b val="true"/>
        <sz val="11"/>
        <color rgb="FFFFFFFF"/>
        <rFont val="맑은 고딕"/>
        <family val="0"/>
        <charset val="1"/>
      </rPr>
      <t xml:space="preserve">(tCO₂)</t>
    </r>
  </si>
  <si>
    <r>
      <rPr>
        <b val="true"/>
        <sz val="11"/>
        <color rgb="FFFFFFFF"/>
        <rFont val="DejaVu Sans"/>
        <family val="2"/>
      </rPr>
      <t xml:space="preserve">평균 가동률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</si>
  <si>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전체 합계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</si>
</sst>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MW&quot;"/>
    <numFmt numFmtId="166" formatCode="#,##0"/>
    <numFmt numFmtId="167" formatCode="0.0\%"/>
    <numFmt numFmtId="168" formatCode="#,##0;\(#,##0\);\-"/>
    <numFmt numFmtId="169" formatCode="0.00;\(0.0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DejaVu Sans"/>
      <family val="2"/>
    </font>
    <font>
      <b val="true"/>
      <sz val="22"/>
      <color rgb="FFFFFFFF"/>
      <name val="맑은 고딕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3E2723"/>
      <name val="DejaVu Sans"/>
      <family val="2"/>
    </font>
    <font>
      <b val="true"/>
      <sz val="10"/>
      <color rgb="FF3E2723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BF360C"/>
      <name val="맑은 고딕"/>
      <family val="0"/>
      <charset val="1"/>
    </font>
    <font>
      <sz val="10"/>
      <color rgb="FF616161"/>
      <name val="맑은 고딕"/>
      <family val="0"/>
      <charset val="1"/>
    </font>
    <font>
      <i val="true"/>
      <sz val="9"/>
      <color rgb="FF5D4037"/>
      <name val="DejaVu Sans"/>
      <family val="2"/>
    </font>
    <font>
      <b val="true"/>
      <sz val="9"/>
      <color rgb="FFB71C1C"/>
      <name val="DejaVu Sans"/>
      <family val="2"/>
    </font>
    <font>
      <b val="true"/>
      <sz val="9"/>
      <color rgb="FF1B5E20"/>
      <name val="DejaVu Sans"/>
      <family val="2"/>
    </font>
    <font>
      <b val="true"/>
      <sz val="9"/>
      <color rgb="FF33691E"/>
      <name val="DejaVu Sans"/>
      <family val="2"/>
    </font>
    <font>
      <i val="true"/>
      <sz val="9"/>
      <color rgb="FF5D4037"/>
      <name val="맑은 고딕"/>
      <family val="0"/>
      <charset val="1"/>
    </font>
    <font>
      <b val="true"/>
      <sz val="9"/>
      <color rgb="FF0D47A1"/>
      <name val="DejaVu Sans"/>
      <family val="2"/>
    </font>
    <font>
      <b val="true"/>
      <sz val="9"/>
      <color rgb="FFF57F17"/>
      <name val="DejaVu Sans"/>
      <family val="2"/>
    </font>
    <font>
      <b val="true"/>
      <sz val="18"/>
      <color rgb="FFFFFFFF"/>
      <name val="DejaVu Sans"/>
      <family val="2"/>
    </font>
    <font>
      <b val="true"/>
      <sz val="18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</fonts>
  <fills count="18">
    <fill>
      <patternFill patternType="none"/>
    </fill>
    <fill>
      <patternFill patternType="gray125"/>
    </fill>
    <fill>
      <patternFill patternType="solid">
        <fgColor rgb="FFBF360C"/>
        <bgColor rgb="FFB71C1C"/>
      </patternFill>
    </fill>
    <fill>
      <patternFill patternType="solid">
        <fgColor rgb="FFE64A19"/>
        <bgColor rgb="FFF4511E"/>
      </patternFill>
    </fill>
    <fill>
      <patternFill patternType="solid">
        <fgColor rgb="FFF4511E"/>
        <bgColor rgb="FFE64A19"/>
      </patternFill>
    </fill>
    <fill>
      <patternFill patternType="solid">
        <fgColor rgb="FFFFF3E0"/>
        <bgColor rgb="FFFFF8E1"/>
      </patternFill>
    </fill>
    <fill>
      <patternFill patternType="solid">
        <fgColor rgb="FFFFCCBC"/>
        <bgColor rgb="FFFFCDD2"/>
      </patternFill>
    </fill>
    <fill>
      <patternFill patternType="solid">
        <fgColor rgb="FFFF6F00"/>
        <bgColor rgb="FFF57F17"/>
      </patternFill>
    </fill>
    <fill>
      <patternFill patternType="solid">
        <fgColor rgb="FFFFF8E1"/>
        <bgColor rgb="FFFFF3E0"/>
      </patternFill>
    </fill>
    <fill>
      <patternFill patternType="solid">
        <fgColor rgb="FFFFCDD2"/>
        <bgColor rgb="FFFFCCBC"/>
      </patternFill>
    </fill>
    <fill>
      <patternFill patternType="solid">
        <fgColor rgb="FFC8E6C9"/>
        <bgColor rgb="FFDCEDC8"/>
      </patternFill>
    </fill>
    <fill>
      <patternFill patternType="solid">
        <fgColor rgb="FFDCEDC8"/>
        <bgColor rgb="FFC8E6C9"/>
      </patternFill>
    </fill>
    <fill>
      <patternFill patternType="solid">
        <fgColor rgb="FFBBDEFB"/>
        <bgColor rgb="FFB3E5FC"/>
      </patternFill>
    </fill>
    <fill>
      <patternFill patternType="solid">
        <fgColor rgb="FFFFE082"/>
        <bgColor rgb="FFFFE0B2"/>
      </patternFill>
    </fill>
    <fill>
      <patternFill patternType="solid">
        <fgColor rgb="FFFFE0B2"/>
        <bgColor rgb="FFFFCCBC"/>
      </patternFill>
    </fill>
    <fill>
      <patternFill patternType="solid">
        <fgColor rgb="FFB3E5FC"/>
        <bgColor rgb="FFBBDEFB"/>
      </patternFill>
    </fill>
    <fill>
      <patternFill patternType="solid">
        <fgColor rgb="FFE1BEE7"/>
        <bgColor rgb="FFFFCDD2"/>
      </patternFill>
    </fill>
    <fill>
      <patternFill patternType="solid">
        <fgColor rgb="FFFFFFFF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BF360C"/>
      </left>
      <right style="medium">
        <color rgb="FFBF360C"/>
      </right>
      <top style="medium">
        <color rgb="FFBF360C"/>
      </top>
      <bottom style="medium">
        <color rgb="FFBF360C"/>
      </bottom>
      <diagonal/>
    </border>
    <border diagonalUp="false" diagonalDown="false">
      <left style="thin">
        <color rgb="FFE64A19"/>
      </left>
      <right style="thin">
        <color rgb="FFE64A19"/>
      </right>
      <top style="thin">
        <color rgb="FFE64A19"/>
      </top>
      <bottom style="thin">
        <color rgb="FFE64A1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1BEE7"/>
      <rgbColor rgb="FF808080"/>
      <rgbColor rgb="FF9999FF"/>
      <rgbColor rgb="FFB71C1C"/>
      <rgbColor rgb="FFFFF8E1"/>
      <rgbColor rgb="FFC8E6C9"/>
      <rgbColor rgb="FF660066"/>
      <rgbColor rgb="FFF4511E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E0"/>
      <rgbColor rgb="FFDCEDC8"/>
      <rgbColor rgb="FFFFE082"/>
      <rgbColor rgb="FFB3E5FC"/>
      <rgbColor rgb="FFFFCDD2"/>
      <rgbColor rgb="FFCC99FF"/>
      <rgbColor rgb="FFFFCCBC"/>
      <rgbColor rgb="FF3366FF"/>
      <rgbColor rgb="FF33CCCC"/>
      <rgbColor rgb="FF99CC00"/>
      <rgbColor rgb="FFFFE0B2"/>
      <rgbColor rgb="FFF57F17"/>
      <rgbColor rgb="FFFF6F00"/>
      <rgbColor rgb="FF616161"/>
      <rgbColor rgb="FF969696"/>
      <rgbColor rgb="FF0D47A1"/>
      <rgbColor rgb="FF33691E"/>
      <rgbColor rgb="FF003300"/>
      <rgbColor rgb="FF5D4037"/>
      <rgbColor rgb="FFBF360C"/>
      <rgbColor rgb="FFE64A19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L3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 t="s">
        <v>16</v>
      </c>
      <c r="D5" s="7" t="n">
        <v>500</v>
      </c>
      <c r="E5" s="8" t="n">
        <v>315000</v>
      </c>
      <c r="F5" s="9" t="n">
        <v>86.5</v>
      </c>
      <c r="G5" s="10" t="n">
        <v>2356</v>
      </c>
      <c r="H5" s="11" t="n">
        <v>120330</v>
      </c>
      <c r="I5" s="12" t="n">
        <f aca="false">IFERROR(G5*1000/E5*1000,0)</f>
        <v>7479.36507936508</v>
      </c>
      <c r="J5" s="13" t="str">
        <f aca="false">IF(F5&gt;=95,"S",IF(F5&gt;=85,"A",IF(F5&gt;=70,"B",IF(F5&gt;=50,"C","D"))))</f>
        <v>A</v>
      </c>
      <c r="K5" s="14" t="s">
        <v>17</v>
      </c>
      <c r="L5" s="15" t="s">
        <v>18</v>
      </c>
    </row>
    <row r="6" customFormat="false" ht="15" hidden="false" customHeight="false" outlineLevel="0" collapsed="false">
      <c r="A6" s="4" t="s">
        <v>14</v>
      </c>
      <c r="B6" s="5" t="s">
        <v>19</v>
      </c>
      <c r="C6" s="6" t="s">
        <v>16</v>
      </c>
      <c r="D6" s="7" t="n">
        <v>500</v>
      </c>
      <c r="E6" s="8" t="n">
        <v>329000</v>
      </c>
      <c r="F6" s="9" t="n">
        <v>90.3</v>
      </c>
      <c r="G6" s="10" t="n">
        <v>2461</v>
      </c>
      <c r="H6" s="11" t="n">
        <v>125678</v>
      </c>
      <c r="I6" s="12" t="n">
        <f aca="false">IFERROR(G6*1000/E6*1000,0)</f>
        <v>7480.24316109423</v>
      </c>
      <c r="J6" s="13" t="str">
        <f aca="false">IF(F6&gt;=95,"S",IF(F6&gt;=85,"A",IF(F6&gt;=70,"B",IF(F6&gt;=50,"C","D"))))</f>
        <v>A</v>
      </c>
      <c r="K6" s="14" t="s">
        <v>20</v>
      </c>
      <c r="L6" s="16" t="s">
        <v>21</v>
      </c>
    </row>
    <row r="7" customFormat="false" ht="15" hidden="false" customHeight="false" outlineLevel="0" collapsed="false">
      <c r="A7" s="4" t="s">
        <v>14</v>
      </c>
      <c r="B7" s="5" t="s">
        <v>22</v>
      </c>
      <c r="C7" s="6" t="s">
        <v>16</v>
      </c>
      <c r="D7" s="7" t="n">
        <v>512</v>
      </c>
      <c r="E7" s="8" t="n">
        <v>344000</v>
      </c>
      <c r="F7" s="9" t="n">
        <v>92.1</v>
      </c>
      <c r="G7" s="10" t="n">
        <v>2573</v>
      </c>
      <c r="H7" s="11" t="n">
        <v>131408</v>
      </c>
      <c r="I7" s="12" t="n">
        <f aca="false">IFERROR(G7*1000/E7*1000,0)</f>
        <v>7479.6511627907</v>
      </c>
      <c r="J7" s="13" t="str">
        <f aca="false">IF(F7&gt;=95,"S",IF(F7&gt;=85,"A",IF(F7&gt;=70,"B",IF(F7&gt;=50,"C","D"))))</f>
        <v>A</v>
      </c>
      <c r="K7" s="14" t="s">
        <v>23</v>
      </c>
      <c r="L7" s="15" t="s">
        <v>18</v>
      </c>
    </row>
    <row r="8" customFormat="false" ht="15" hidden="false" customHeight="false" outlineLevel="0" collapsed="false">
      <c r="A8" s="4" t="s">
        <v>14</v>
      </c>
      <c r="B8" s="5" t="s">
        <v>24</v>
      </c>
      <c r="C8" s="6" t="s">
        <v>16</v>
      </c>
      <c r="D8" s="7" t="n">
        <v>500</v>
      </c>
      <c r="E8" s="8" t="n">
        <v>323000</v>
      </c>
      <c r="F8" s="9" t="n">
        <v>88.7</v>
      </c>
      <c r="G8" s="10" t="n">
        <v>2416</v>
      </c>
      <c r="H8" s="11" t="n">
        <v>123386</v>
      </c>
      <c r="I8" s="12" t="n">
        <f aca="false">IFERROR(G8*1000/E8*1000,0)</f>
        <v>7479.87616099071</v>
      </c>
      <c r="J8" s="13" t="str">
        <f aca="false">IF(F8&gt;=95,"S",IF(F8&gt;=85,"A",IF(F8&gt;=70,"B",IF(F8&gt;=50,"C","D"))))</f>
        <v>A</v>
      </c>
      <c r="K8" s="14" t="s">
        <v>23</v>
      </c>
      <c r="L8" s="15" t="s">
        <v>18</v>
      </c>
    </row>
    <row r="9" customFormat="false" ht="15" hidden="false" customHeight="false" outlineLevel="0" collapsed="false">
      <c r="A9" s="4" t="s">
        <v>14</v>
      </c>
      <c r="B9" s="5" t="s">
        <v>25</v>
      </c>
      <c r="C9" s="6" t="s">
        <v>16</v>
      </c>
      <c r="D9" s="7" t="n">
        <v>500</v>
      </c>
      <c r="E9" s="8" t="n">
        <v>334000</v>
      </c>
      <c r="F9" s="9" t="n">
        <v>91.7</v>
      </c>
      <c r="G9" s="10" t="n">
        <v>2498</v>
      </c>
      <c r="H9" s="11" t="n">
        <v>127588</v>
      </c>
      <c r="I9" s="12" t="n">
        <f aca="false">IFERROR(G9*1000/E9*1000,0)</f>
        <v>7479.04191616767</v>
      </c>
      <c r="J9" s="13" t="str">
        <f aca="false">IF(F9&gt;=95,"S",IF(F9&gt;=85,"A",IF(F9&gt;=70,"B",IF(F9&gt;=50,"C","D"))))</f>
        <v>A</v>
      </c>
      <c r="K9" s="14" t="s">
        <v>26</v>
      </c>
      <c r="L9" s="17" t="s">
        <v>27</v>
      </c>
    </row>
    <row r="10" customFormat="false" ht="15" hidden="false" customHeight="false" outlineLevel="0" collapsed="false">
      <c r="A10" s="4" t="s">
        <v>14</v>
      </c>
      <c r="B10" s="5" t="s">
        <v>28</v>
      </c>
      <c r="C10" s="6" t="s">
        <v>16</v>
      </c>
      <c r="D10" s="7" t="n">
        <v>480</v>
      </c>
      <c r="E10" s="8" t="n">
        <v>311000</v>
      </c>
      <c r="F10" s="9" t="n">
        <v>88.8</v>
      </c>
      <c r="G10" s="10" t="n">
        <v>2326</v>
      </c>
      <c r="H10" s="11" t="n">
        <v>118802</v>
      </c>
      <c r="I10" s="12" t="n">
        <f aca="false">IFERROR(G10*1000/E10*1000,0)</f>
        <v>7479.09967845659</v>
      </c>
      <c r="J10" s="13" t="str">
        <f aca="false">IF(F10&gt;=95,"S",IF(F10&gt;=85,"A",IF(F10&gt;=70,"B",IF(F10&gt;=50,"C","D"))))</f>
        <v>A</v>
      </c>
      <c r="K10" s="18"/>
      <c r="L10" s="17" t="s">
        <v>27</v>
      </c>
    </row>
    <row r="11" customFormat="false" ht="15" hidden="false" customHeight="false" outlineLevel="0" collapsed="false">
      <c r="A11" s="4" t="s">
        <v>14</v>
      </c>
      <c r="B11" s="5" t="s">
        <v>29</v>
      </c>
      <c r="C11" s="6" t="s">
        <v>16</v>
      </c>
      <c r="D11" s="7" t="n">
        <v>480</v>
      </c>
      <c r="E11" s="8" t="n">
        <v>302000</v>
      </c>
      <c r="F11" s="9" t="n">
        <v>86.3</v>
      </c>
      <c r="G11" s="10" t="n">
        <v>2259</v>
      </c>
      <c r="H11" s="11" t="n">
        <v>115364</v>
      </c>
      <c r="I11" s="12" t="n">
        <f aca="false">IFERROR(G11*1000/E11*1000,0)</f>
        <v>7480.13245033113</v>
      </c>
      <c r="J11" s="13" t="str">
        <f aca="false">IF(F11&gt;=95,"S",IF(F11&gt;=85,"A",IF(F11&gt;=70,"B",IF(F11&gt;=50,"C","D"))))</f>
        <v>A</v>
      </c>
      <c r="K11" s="14" t="s">
        <v>30</v>
      </c>
      <c r="L11" s="16" t="s">
        <v>21</v>
      </c>
    </row>
    <row r="12" customFormat="false" ht="15" hidden="false" customHeight="false" outlineLevel="0" collapsed="false">
      <c r="A12" s="4" t="s">
        <v>14</v>
      </c>
      <c r="B12" s="5" t="s">
        <v>31</v>
      </c>
      <c r="C12" s="6" t="s">
        <v>16</v>
      </c>
      <c r="D12" s="7" t="n">
        <v>495</v>
      </c>
      <c r="E12" s="8" t="n">
        <v>321000</v>
      </c>
      <c r="F12" s="9" t="n">
        <v>88.9</v>
      </c>
      <c r="G12" s="10" t="n">
        <v>2401</v>
      </c>
      <c r="H12" s="11" t="n">
        <v>122622</v>
      </c>
      <c r="I12" s="12" t="n">
        <f aca="false">IFERROR(G12*1000/E12*1000,0)</f>
        <v>7479.7507788162</v>
      </c>
      <c r="J12" s="13" t="str">
        <f aca="false">IF(F12&gt;=95,"S",IF(F12&gt;=85,"A",IF(F12&gt;=70,"B",IF(F12&gt;=50,"C","D"))))</f>
        <v>A</v>
      </c>
      <c r="K12" s="14" t="s">
        <v>32</v>
      </c>
      <c r="L12" s="19" t="s">
        <v>33</v>
      </c>
    </row>
    <row r="13" customFormat="false" ht="15" hidden="false" customHeight="false" outlineLevel="0" collapsed="false">
      <c r="A13" s="4" t="s">
        <v>14</v>
      </c>
      <c r="B13" s="5" t="s">
        <v>34</v>
      </c>
      <c r="C13" s="6" t="s">
        <v>16</v>
      </c>
      <c r="D13" s="7" t="n">
        <v>500</v>
      </c>
      <c r="E13" s="8" t="n">
        <v>330000</v>
      </c>
      <c r="F13" s="9" t="n">
        <v>90.5</v>
      </c>
      <c r="G13" s="10" t="n">
        <v>2468</v>
      </c>
      <c r="H13" s="11" t="n">
        <v>126060</v>
      </c>
      <c r="I13" s="12" t="n">
        <f aca="false">IFERROR(G13*1000/E13*1000,0)</f>
        <v>7478.78787878788</v>
      </c>
      <c r="J13" s="13" t="str">
        <f aca="false">IF(F13&gt;=95,"S",IF(F13&gt;=85,"A",IF(F13&gt;=70,"B",IF(F13&gt;=50,"C","D"))))</f>
        <v>A</v>
      </c>
      <c r="K13" s="14" t="s">
        <v>35</v>
      </c>
      <c r="L13" s="20" t="s">
        <v>36</v>
      </c>
    </row>
    <row r="14" customFormat="false" ht="15" hidden="false" customHeight="false" outlineLevel="0" collapsed="false">
      <c r="A14" s="4" t="s">
        <v>14</v>
      </c>
      <c r="B14" s="5" t="s">
        <v>37</v>
      </c>
      <c r="C14" s="6" t="s">
        <v>16</v>
      </c>
      <c r="D14" s="7" t="n">
        <v>520</v>
      </c>
      <c r="E14" s="8" t="n">
        <v>332000</v>
      </c>
      <c r="F14" s="9" t="n">
        <v>87.5</v>
      </c>
      <c r="G14" s="10" t="n">
        <v>2483</v>
      </c>
      <c r="H14" s="11" t="n">
        <v>126824</v>
      </c>
      <c r="I14" s="12" t="n">
        <f aca="false">IFERROR(G14*1000/E14*1000,0)</f>
        <v>7478.9156626506</v>
      </c>
      <c r="J14" s="13" t="str">
        <f aca="false">IF(F14&gt;=95,"S",IF(F14&gt;=85,"A",IF(F14&gt;=70,"B",IF(F14&gt;=50,"C","D"))))</f>
        <v>A</v>
      </c>
      <c r="K14" s="14" t="s">
        <v>38</v>
      </c>
      <c r="L14" s="20" t="s">
        <v>36</v>
      </c>
    </row>
    <row r="15" customFormat="false" ht="15" hidden="false" customHeight="false" outlineLevel="0" collapsed="false">
      <c r="A15" s="4" t="s">
        <v>14</v>
      </c>
      <c r="B15" s="5" t="s">
        <v>39</v>
      </c>
      <c r="C15" s="6" t="s">
        <v>16</v>
      </c>
      <c r="D15" s="7" t="n">
        <v>520</v>
      </c>
      <c r="E15" s="8" t="n">
        <v>352000</v>
      </c>
      <c r="F15" s="9" t="n">
        <v>92.8</v>
      </c>
      <c r="G15" s="10" t="n">
        <v>2633</v>
      </c>
      <c r="H15" s="11" t="n">
        <v>134464</v>
      </c>
      <c r="I15" s="12" t="n">
        <f aca="false">IFERROR(G15*1000/E15*1000,0)</f>
        <v>7480.11363636364</v>
      </c>
      <c r="J15" s="13" t="str">
        <f aca="false">IF(F15&gt;=95,"S",IF(F15&gt;=85,"A",IF(F15&gt;=70,"B",IF(F15&gt;=50,"C","D"))))</f>
        <v>A</v>
      </c>
      <c r="K15" s="14" t="s">
        <v>17</v>
      </c>
      <c r="L15" s="16" t="s">
        <v>21</v>
      </c>
    </row>
    <row r="16" customFormat="false" ht="15" hidden="false" customHeight="false" outlineLevel="0" collapsed="false">
      <c r="A16" s="4" t="s">
        <v>14</v>
      </c>
      <c r="B16" s="5" t="s">
        <v>40</v>
      </c>
      <c r="C16" s="6" t="s">
        <v>16</v>
      </c>
      <c r="D16" s="7" t="n">
        <v>530</v>
      </c>
      <c r="E16" s="8" t="n">
        <v>351000</v>
      </c>
      <c r="F16" s="9" t="n">
        <v>90.8</v>
      </c>
      <c r="G16" s="10" t="n">
        <v>2625</v>
      </c>
      <c r="H16" s="11" t="n">
        <v>134082</v>
      </c>
      <c r="I16" s="12" t="n">
        <f aca="false">IFERROR(G16*1000/E16*1000,0)</f>
        <v>7478.63247863248</v>
      </c>
      <c r="J16" s="13" t="str">
        <f aca="false">IF(F16&gt;=95,"S",IF(F16&gt;=85,"A",IF(F16&gt;=70,"B",IF(F16&gt;=50,"C","D"))))</f>
        <v>A</v>
      </c>
      <c r="K16" s="14" t="s">
        <v>20</v>
      </c>
      <c r="L16" s="15" t="s">
        <v>18</v>
      </c>
    </row>
    <row r="17" customFormat="false" ht="15" hidden="false" customHeight="false" outlineLevel="0" collapsed="false">
      <c r="A17" s="4" t="s">
        <v>14</v>
      </c>
      <c r="B17" s="5" t="s">
        <v>41</v>
      </c>
      <c r="C17" s="6" t="s">
        <v>16</v>
      </c>
      <c r="D17" s="7" t="n">
        <v>510</v>
      </c>
      <c r="E17" s="8" t="n">
        <v>333000</v>
      </c>
      <c r="F17" s="9" t="n">
        <v>89.5</v>
      </c>
      <c r="G17" s="10" t="n">
        <v>2491</v>
      </c>
      <c r="H17" s="11" t="n">
        <v>127206</v>
      </c>
      <c r="I17" s="12" t="n">
        <f aca="false">IFERROR(G17*1000/E17*1000,0)</f>
        <v>7480.48048048048</v>
      </c>
      <c r="J17" s="13" t="str">
        <f aca="false">IF(F17&gt;=95,"S",IF(F17&gt;=85,"A",IF(F17&gt;=70,"B",IF(F17&gt;=50,"C","D"))))</f>
        <v>A</v>
      </c>
      <c r="K17" s="14" t="s">
        <v>30</v>
      </c>
      <c r="L17" s="19" t="s">
        <v>33</v>
      </c>
    </row>
    <row r="18" customFormat="false" ht="15" hidden="false" customHeight="false" outlineLevel="0" collapsed="false">
      <c r="A18" s="4" t="s">
        <v>14</v>
      </c>
      <c r="B18" s="5" t="s">
        <v>42</v>
      </c>
      <c r="C18" s="6" t="s">
        <v>16</v>
      </c>
      <c r="D18" s="7" t="n">
        <v>510</v>
      </c>
      <c r="E18" s="8" t="n">
        <v>322000</v>
      </c>
      <c r="F18" s="9" t="n">
        <v>86.7</v>
      </c>
      <c r="G18" s="10" t="n">
        <v>2409</v>
      </c>
      <c r="H18" s="11" t="n">
        <v>123004</v>
      </c>
      <c r="I18" s="12" t="n">
        <f aca="false">IFERROR(G18*1000/E18*1000,0)</f>
        <v>7481.36645962733</v>
      </c>
      <c r="J18" s="13" t="str">
        <f aca="false">IF(F18&gt;=95,"S",IF(F18&gt;=85,"A",IF(F18&gt;=70,"B",IF(F18&gt;=50,"C","D"))))</f>
        <v>A</v>
      </c>
      <c r="K18" s="14" t="s">
        <v>32</v>
      </c>
      <c r="L18" s="17" t="s">
        <v>27</v>
      </c>
    </row>
    <row r="19" customFormat="false" ht="15" hidden="false" customHeight="false" outlineLevel="0" collapsed="false">
      <c r="A19" s="4" t="s">
        <v>14</v>
      </c>
      <c r="B19" s="5" t="s">
        <v>43</v>
      </c>
      <c r="C19" s="6" t="s">
        <v>16</v>
      </c>
      <c r="D19" s="7" t="n">
        <v>495</v>
      </c>
      <c r="E19" s="8" t="n">
        <v>317000</v>
      </c>
      <c r="F19" s="9" t="n">
        <v>87.9</v>
      </c>
      <c r="G19" s="10" t="n">
        <v>2371</v>
      </c>
      <c r="H19" s="11" t="n">
        <v>121094</v>
      </c>
      <c r="I19" s="12" t="n">
        <f aca="false">IFERROR(G19*1000/E19*1000,0)</f>
        <v>7479.4952681388</v>
      </c>
      <c r="J19" s="13" t="str">
        <f aca="false">IF(F19&gt;=95,"S",IF(F19&gt;=85,"A",IF(F19&gt;=70,"B",IF(F19&gt;=50,"C","D"))))</f>
        <v>A</v>
      </c>
      <c r="K19" s="14" t="s">
        <v>44</v>
      </c>
      <c r="L19" s="16" t="s">
        <v>21</v>
      </c>
    </row>
    <row r="20" customFormat="false" ht="15" hidden="false" customHeight="false" outlineLevel="0" collapsed="false">
      <c r="A20" s="4" t="s">
        <v>14</v>
      </c>
      <c r="B20" s="21" t="s">
        <v>45</v>
      </c>
      <c r="C20" s="22" t="s">
        <v>46</v>
      </c>
      <c r="D20" s="7" t="n">
        <v>200</v>
      </c>
      <c r="E20" s="8" t="n">
        <v>125000</v>
      </c>
      <c r="F20" s="9" t="n">
        <v>86.2</v>
      </c>
      <c r="G20" s="10" t="n">
        <v>928</v>
      </c>
      <c r="H20" s="11" t="n">
        <v>37625</v>
      </c>
      <c r="I20" s="12" t="n">
        <f aca="false">IFERROR(G20*1000/E20*1000,0)</f>
        <v>7424</v>
      </c>
      <c r="J20" s="13" t="str">
        <f aca="false">IF(F20&gt;=95,"S",IF(F20&gt;=85,"A",IF(F20&gt;=70,"B",IF(F20&gt;=50,"C","D"))))</f>
        <v>A</v>
      </c>
      <c r="K20" s="14" t="s">
        <v>47</v>
      </c>
      <c r="L20" s="16" t="s">
        <v>21</v>
      </c>
    </row>
    <row r="21" customFormat="false" ht="15" hidden="false" customHeight="false" outlineLevel="0" collapsed="false">
      <c r="A21" s="4" t="s">
        <v>14</v>
      </c>
      <c r="B21" s="21" t="s">
        <v>48</v>
      </c>
      <c r="C21" s="22" t="s">
        <v>46</v>
      </c>
      <c r="D21" s="7" t="n">
        <v>220</v>
      </c>
      <c r="E21" s="8" t="n">
        <v>138000</v>
      </c>
      <c r="F21" s="9" t="n">
        <v>86.4</v>
      </c>
      <c r="G21" s="10" t="n">
        <v>1024</v>
      </c>
      <c r="H21" s="11" t="n">
        <v>41538</v>
      </c>
      <c r="I21" s="12" t="n">
        <f aca="false">IFERROR(G21*1000/E21*1000,0)</f>
        <v>7420.28985507246</v>
      </c>
      <c r="J21" s="13" t="str">
        <f aca="false">IF(F21&gt;=95,"S",IF(F21&gt;=85,"A",IF(F21&gt;=70,"B",IF(F21&gt;=50,"C","D"))))</f>
        <v>A</v>
      </c>
      <c r="K21" s="14" t="s">
        <v>49</v>
      </c>
      <c r="L21" s="15" t="s">
        <v>18</v>
      </c>
    </row>
    <row r="22" customFormat="false" ht="15" hidden="false" customHeight="false" outlineLevel="0" collapsed="false">
      <c r="A22" s="4" t="s">
        <v>14</v>
      </c>
      <c r="B22" s="5" t="s">
        <v>50</v>
      </c>
      <c r="C22" s="23" t="s">
        <v>51</v>
      </c>
      <c r="D22" s="7" t="n">
        <v>147</v>
      </c>
      <c r="E22" s="8" t="n">
        <v>41000</v>
      </c>
      <c r="F22" s="9" t="n">
        <v>38.5</v>
      </c>
      <c r="G22" s="10" t="n">
        <v>0</v>
      </c>
      <c r="H22" s="11" t="n">
        <v>0</v>
      </c>
      <c r="I22" s="12" t="n">
        <v>0</v>
      </c>
      <c r="J22" s="13" t="str">
        <f aca="false">IF(F22&gt;=95,"S",IF(F22&gt;=85,"A",IF(F22&gt;=70,"B",IF(F22&gt;=50,"C","D"))))</f>
        <v>D</v>
      </c>
      <c r="K22" s="14" t="s">
        <v>52</v>
      </c>
      <c r="L22" s="20" t="s">
        <v>36</v>
      </c>
    </row>
    <row r="23" customFormat="false" ht="15" hidden="false" customHeight="false" outlineLevel="0" collapsed="false">
      <c r="A23" s="4" t="s">
        <v>14</v>
      </c>
      <c r="B23" s="5" t="s">
        <v>53</v>
      </c>
      <c r="C23" s="23" t="s">
        <v>51</v>
      </c>
      <c r="D23" s="7" t="n">
        <v>320</v>
      </c>
      <c r="E23" s="8" t="n">
        <v>90000</v>
      </c>
      <c r="F23" s="9" t="n">
        <v>38.6</v>
      </c>
      <c r="G23" s="10" t="n">
        <v>0</v>
      </c>
      <c r="H23" s="11" t="n">
        <v>0</v>
      </c>
      <c r="I23" s="12" t="n">
        <v>0</v>
      </c>
      <c r="J23" s="13" t="str">
        <f aca="false">IF(F23&gt;=95,"S",IF(F23&gt;=85,"A",IF(F23&gt;=70,"B",IF(F23&gt;=50,"C","D"))))</f>
        <v>D</v>
      </c>
      <c r="K23" s="24" t="s">
        <v>54</v>
      </c>
      <c r="L23" s="19" t="s">
        <v>33</v>
      </c>
    </row>
    <row r="24" customFormat="false" ht="15" hidden="false" customHeight="false" outlineLevel="0" collapsed="false">
      <c r="A24" s="4" t="s">
        <v>14</v>
      </c>
      <c r="B24" s="5" t="s">
        <v>55</v>
      </c>
      <c r="C24" s="23" t="s">
        <v>51</v>
      </c>
      <c r="D24" s="7" t="n">
        <v>250</v>
      </c>
      <c r="E24" s="8" t="n">
        <v>68000</v>
      </c>
      <c r="F24" s="9" t="n">
        <v>37.3</v>
      </c>
      <c r="G24" s="10" t="n">
        <v>0</v>
      </c>
      <c r="H24" s="11" t="n">
        <v>0</v>
      </c>
      <c r="I24" s="12" t="n">
        <v>0</v>
      </c>
      <c r="J24" s="13" t="str">
        <f aca="false">IF(F24&gt;=95,"S",IF(F24&gt;=85,"A",IF(F24&gt;=70,"B",IF(F24&gt;=50,"C","D"))))</f>
        <v>D</v>
      </c>
      <c r="K24" s="24" t="s">
        <v>56</v>
      </c>
      <c r="L24" s="16" t="s">
        <v>21</v>
      </c>
    </row>
    <row r="25" customFormat="false" ht="15" hidden="false" customHeight="false" outlineLevel="0" collapsed="false">
      <c r="A25" s="4" t="s">
        <v>14</v>
      </c>
      <c r="B25" s="5" t="s">
        <v>57</v>
      </c>
      <c r="C25" s="23" t="s">
        <v>51</v>
      </c>
      <c r="D25" s="7" t="n">
        <v>180</v>
      </c>
      <c r="E25" s="8" t="n">
        <v>55000</v>
      </c>
      <c r="F25" s="9" t="n">
        <v>42.5</v>
      </c>
      <c r="G25" s="10" t="n">
        <v>0</v>
      </c>
      <c r="H25" s="11" t="n">
        <v>0</v>
      </c>
      <c r="I25" s="12" t="n">
        <v>0</v>
      </c>
      <c r="J25" s="13" t="str">
        <f aca="false">IF(F25&gt;=95,"S",IF(F25&gt;=85,"A",IF(F25&gt;=70,"B",IF(F25&gt;=50,"C","D"))))</f>
        <v>D</v>
      </c>
      <c r="K25" s="24" t="s">
        <v>54</v>
      </c>
      <c r="L25" s="19" t="s">
        <v>33</v>
      </c>
    </row>
    <row r="26" customFormat="false" ht="15" hidden="false" customHeight="false" outlineLevel="0" collapsed="false">
      <c r="A26" s="4" t="s">
        <v>14</v>
      </c>
      <c r="B26" s="5" t="s">
        <v>58</v>
      </c>
      <c r="C26" s="23" t="s">
        <v>51</v>
      </c>
      <c r="D26" s="7" t="n">
        <v>95</v>
      </c>
      <c r="E26" s="8" t="n">
        <v>26000</v>
      </c>
      <c r="F26" s="9" t="n">
        <v>38.6</v>
      </c>
      <c r="G26" s="10" t="n">
        <v>0</v>
      </c>
      <c r="H26" s="11" t="n">
        <v>0</v>
      </c>
      <c r="I26" s="12" t="n">
        <v>0</v>
      </c>
      <c r="J26" s="13" t="str">
        <f aca="false">IF(F26&gt;=95,"S",IF(F26&gt;=85,"A",IF(F26&gt;=70,"B",IF(F26&gt;=50,"C","D"))))</f>
        <v>D</v>
      </c>
      <c r="K26" s="18"/>
      <c r="L26" s="17" t="s">
        <v>27</v>
      </c>
    </row>
    <row r="27" customFormat="false" ht="15" hidden="false" customHeight="false" outlineLevel="0" collapsed="false">
      <c r="A27" s="4" t="s">
        <v>14</v>
      </c>
      <c r="B27" s="5" t="s">
        <v>59</v>
      </c>
      <c r="C27" s="23" t="s">
        <v>51</v>
      </c>
      <c r="D27" s="7" t="n">
        <v>32</v>
      </c>
      <c r="E27" s="8" t="n">
        <v>1000</v>
      </c>
      <c r="F27" s="9" t="n">
        <v>6.6</v>
      </c>
      <c r="G27" s="10" t="n">
        <v>0</v>
      </c>
      <c r="H27" s="11" t="n">
        <v>0</v>
      </c>
      <c r="I27" s="12" t="n">
        <v>0</v>
      </c>
      <c r="J27" s="13" t="str">
        <f aca="false">IF(F27&gt;=95,"S",IF(F27&gt;=85,"A",IF(F27&gt;=70,"B",IF(F27&gt;=50,"C","D"))))</f>
        <v>D</v>
      </c>
      <c r="K27" s="14" t="s">
        <v>60</v>
      </c>
      <c r="L27" s="16" t="s">
        <v>21</v>
      </c>
    </row>
    <row r="28" customFormat="false" ht="15" hidden="false" customHeight="false" outlineLevel="0" collapsed="false">
      <c r="A28" s="4" t="s">
        <v>14</v>
      </c>
      <c r="B28" s="5" t="s">
        <v>61</v>
      </c>
      <c r="C28" s="23" t="s">
        <v>51</v>
      </c>
      <c r="D28" s="7" t="n">
        <v>220</v>
      </c>
      <c r="E28" s="8" t="n">
        <v>13000</v>
      </c>
      <c r="F28" s="9" t="n">
        <v>8.2</v>
      </c>
      <c r="G28" s="10" t="n">
        <v>0</v>
      </c>
      <c r="H28" s="11" t="n">
        <v>0</v>
      </c>
      <c r="I28" s="12" t="n">
        <v>0</v>
      </c>
      <c r="J28" s="13" t="str">
        <f aca="false">IF(F28&gt;=95,"S",IF(F28&gt;=85,"A",IF(F28&gt;=70,"B",IF(F28&gt;=50,"C","D"))))</f>
        <v>D</v>
      </c>
      <c r="K28" s="24" t="s">
        <v>56</v>
      </c>
      <c r="L28" s="16" t="s">
        <v>21</v>
      </c>
    </row>
    <row r="29" customFormat="false" ht="15" hidden="false" customHeight="false" outlineLevel="0" collapsed="false">
      <c r="A29" s="4" t="s">
        <v>14</v>
      </c>
      <c r="B29" s="5" t="s">
        <v>62</v>
      </c>
      <c r="C29" s="23" t="s">
        <v>51</v>
      </c>
      <c r="D29" s="7" t="n">
        <v>85</v>
      </c>
      <c r="E29" s="8" t="n">
        <v>4000</v>
      </c>
      <c r="F29" s="9" t="n">
        <v>7.7</v>
      </c>
      <c r="G29" s="10" t="n">
        <v>0</v>
      </c>
      <c r="H29" s="11" t="n">
        <v>0</v>
      </c>
      <c r="I29" s="12" t="n">
        <v>0</v>
      </c>
      <c r="J29" s="13" t="str">
        <f aca="false">IF(F29&gt;=95,"S",IF(F29&gt;=85,"A",IF(F29&gt;=70,"B",IF(F29&gt;=50,"C","D"))))</f>
        <v>D</v>
      </c>
      <c r="K29" s="14" t="s">
        <v>63</v>
      </c>
      <c r="L29" s="19" t="s">
        <v>33</v>
      </c>
    </row>
    <row r="30" customFormat="false" ht="15" hidden="false" customHeight="false" outlineLevel="0" collapsed="false">
      <c r="A30" s="4" t="s">
        <v>14</v>
      </c>
      <c r="B30" s="5" t="s">
        <v>64</v>
      </c>
      <c r="C30" s="23" t="s">
        <v>51</v>
      </c>
      <c r="D30" s="7" t="n">
        <v>60</v>
      </c>
      <c r="E30" s="8" t="n">
        <v>2000</v>
      </c>
      <c r="F30" s="9" t="n">
        <v>6.4</v>
      </c>
      <c r="G30" s="10" t="n">
        <v>0</v>
      </c>
      <c r="H30" s="11" t="n">
        <v>0</v>
      </c>
      <c r="I30" s="12" t="n">
        <v>0</v>
      </c>
      <c r="J30" s="13" t="str">
        <f aca="false">IF(F30&gt;=95,"S",IF(F30&gt;=85,"A",IF(F30&gt;=70,"B",IF(F30&gt;=50,"C","D"))))</f>
        <v>D</v>
      </c>
      <c r="K30" s="14" t="s">
        <v>65</v>
      </c>
      <c r="L30" s="16" t="s">
        <v>21</v>
      </c>
    </row>
    <row r="31" customFormat="false" ht="15" hidden="false" customHeight="false" outlineLevel="0" collapsed="false">
      <c r="A31" s="4" t="s">
        <v>14</v>
      </c>
      <c r="B31" s="5" t="s">
        <v>66</v>
      </c>
      <c r="C31" s="23" t="s">
        <v>51</v>
      </c>
      <c r="D31" s="7" t="n">
        <v>75</v>
      </c>
      <c r="E31" s="8" t="n">
        <v>4000</v>
      </c>
      <c r="F31" s="9" t="n">
        <v>7.5</v>
      </c>
      <c r="G31" s="10" t="n">
        <v>0</v>
      </c>
      <c r="H31" s="11" t="n">
        <v>0</v>
      </c>
      <c r="I31" s="12" t="n">
        <v>0</v>
      </c>
      <c r="J31" s="13" t="str">
        <f aca="false">IF(F31&gt;=95,"S",IF(F31&gt;=85,"A",IF(F31&gt;=70,"B",IF(F31&gt;=50,"C","D"))))</f>
        <v>D</v>
      </c>
      <c r="K31" s="14" t="s">
        <v>67</v>
      </c>
      <c r="L31" s="19" t="s">
        <v>33</v>
      </c>
    </row>
    <row r="32" customFormat="false" ht="15" hidden="false" customHeight="false" outlineLevel="0" collapsed="false">
      <c r="A32" s="4" t="s">
        <v>14</v>
      </c>
      <c r="B32" s="5" t="s">
        <v>68</v>
      </c>
      <c r="C32" s="25" t="s">
        <v>69</v>
      </c>
      <c r="D32" s="7" t="n">
        <v>460</v>
      </c>
      <c r="E32" s="8" t="n">
        <v>276000</v>
      </c>
      <c r="F32" s="9" t="n">
        <v>82.5</v>
      </c>
      <c r="G32" s="10" t="n">
        <v>1891</v>
      </c>
      <c r="H32" s="11" t="n">
        <v>73140</v>
      </c>
      <c r="I32" s="12" t="n">
        <f aca="false">IFERROR(G32*1000/E32*1000,0)</f>
        <v>6851.44927536232</v>
      </c>
      <c r="J32" s="13" t="str">
        <f aca="false">IF(F32&gt;=95,"S",IF(F32&gt;=85,"A",IF(F32&gt;=70,"B",IF(F32&gt;=50,"C","D"))))</f>
        <v>B</v>
      </c>
      <c r="K32" s="14" t="s">
        <v>70</v>
      </c>
      <c r="L32" s="16" t="s">
        <v>21</v>
      </c>
    </row>
    <row r="33" customFormat="false" ht="15" hidden="false" customHeight="false" outlineLevel="0" collapsed="false">
      <c r="A33" s="4" t="s">
        <v>14</v>
      </c>
      <c r="B33" s="5" t="s">
        <v>71</v>
      </c>
      <c r="C33" s="25" t="s">
        <v>69</v>
      </c>
      <c r="D33" s="7" t="n">
        <v>460</v>
      </c>
      <c r="E33" s="8" t="n">
        <v>273000</v>
      </c>
      <c r="F33" s="9" t="n">
        <v>81.5</v>
      </c>
      <c r="G33" s="10" t="n">
        <v>1870</v>
      </c>
      <c r="H33" s="11" t="n">
        <v>72345</v>
      </c>
      <c r="I33" s="12" t="n">
        <f aca="false">IFERROR(G33*1000/E33*1000,0)</f>
        <v>6849.81684981685</v>
      </c>
      <c r="J33" s="13" t="str">
        <f aca="false">IF(F33&gt;=95,"S",IF(F33&gt;=85,"A",IF(F33&gt;=70,"B",IF(F33&gt;=50,"C","D"))))</f>
        <v>B</v>
      </c>
      <c r="K33" s="14" t="s">
        <v>72</v>
      </c>
      <c r="L33" s="15" t="s">
        <v>18</v>
      </c>
    </row>
    <row r="34" customFormat="false" ht="15" hidden="false" customHeight="false" outlineLevel="0" collapsed="false">
      <c r="A34" s="4" t="s">
        <v>14</v>
      </c>
      <c r="B34" s="5" t="s">
        <v>73</v>
      </c>
      <c r="C34" s="26" t="s">
        <v>74</v>
      </c>
      <c r="D34" s="7" t="n">
        <v>80</v>
      </c>
      <c r="E34" s="8" t="n">
        <v>25000</v>
      </c>
      <c r="F34" s="9" t="n">
        <v>44.1</v>
      </c>
      <c r="G34" s="10" t="n">
        <v>0</v>
      </c>
      <c r="H34" s="11" t="n">
        <v>0</v>
      </c>
      <c r="I34" s="12" t="n">
        <v>0</v>
      </c>
      <c r="J34" s="13" t="str">
        <f aca="false">IF(F34&gt;=95,"S",IF(F34&gt;=85,"A",IF(F34&gt;=70,"B",IF(F34&gt;=50,"C","D"))))</f>
        <v>D</v>
      </c>
      <c r="K34" s="14" t="s">
        <v>75</v>
      </c>
      <c r="L34" s="19" t="s">
        <v>33</v>
      </c>
    </row>
    <row r="35" customFormat="false" ht="15" hidden="false" customHeight="false" outlineLevel="0" collapsed="false">
      <c r="A35" s="4" t="s">
        <v>14</v>
      </c>
      <c r="B35" s="5" t="s">
        <v>76</v>
      </c>
      <c r="C35" s="26" t="s">
        <v>74</v>
      </c>
      <c r="D35" s="7" t="n">
        <v>80</v>
      </c>
      <c r="E35" s="8" t="n">
        <v>25000</v>
      </c>
      <c r="F35" s="9" t="n">
        <v>44.2</v>
      </c>
      <c r="G35" s="10" t="n">
        <v>0</v>
      </c>
      <c r="H35" s="11" t="n">
        <v>0</v>
      </c>
      <c r="I35" s="12" t="n">
        <v>0</v>
      </c>
      <c r="J35" s="13" t="str">
        <f aca="false">IF(F35&gt;=95,"S",IF(F35&gt;=85,"A",IF(F35&gt;=70,"B",IF(F35&gt;=50,"C","D"))))</f>
        <v>D</v>
      </c>
      <c r="K35" s="14" t="s">
        <v>77</v>
      </c>
      <c r="L35" s="20" t="s">
        <v>36</v>
      </c>
    </row>
    <row r="36" customFormat="false" ht="15" hidden="false" customHeight="false" outlineLevel="0" collapsed="false">
      <c r="A36" s="4" t="s">
        <v>14</v>
      </c>
      <c r="B36" s="5" t="s">
        <v>78</v>
      </c>
      <c r="C36" s="26" t="s">
        <v>74</v>
      </c>
      <c r="D36" s="7" t="n">
        <v>100</v>
      </c>
      <c r="E36" s="8" t="n">
        <v>27000</v>
      </c>
      <c r="F36" s="9" t="n">
        <v>37.8</v>
      </c>
      <c r="G36" s="10" t="n">
        <v>0</v>
      </c>
      <c r="H36" s="11" t="n">
        <v>0</v>
      </c>
      <c r="I36" s="12" t="n">
        <v>0</v>
      </c>
      <c r="J36" s="13" t="str">
        <f aca="false">IF(F36&gt;=95,"S",IF(F36&gt;=85,"A",IF(F36&gt;=70,"B",IF(F36&gt;=50,"C","D"))))</f>
        <v>D</v>
      </c>
      <c r="K36" s="24" t="s">
        <v>79</v>
      </c>
      <c r="L36" s="16" t="s">
        <v>21</v>
      </c>
    </row>
    <row r="37" customFormat="false" ht="15" hidden="false" customHeight="false" outlineLevel="0" collapsed="false">
      <c r="A37" s="4" t="s">
        <v>80</v>
      </c>
      <c r="B37" s="27" t="s">
        <v>15</v>
      </c>
      <c r="C37" s="6" t="s">
        <v>16</v>
      </c>
      <c r="D37" s="28" t="n">
        <v>500</v>
      </c>
      <c r="E37" s="29" t="n">
        <v>304000</v>
      </c>
      <c r="F37" s="30" t="n">
        <v>83.5</v>
      </c>
      <c r="G37" s="31" t="n">
        <v>2274</v>
      </c>
      <c r="H37" s="32" t="n">
        <v>116128</v>
      </c>
      <c r="I37" s="33" t="n">
        <f aca="false">IFERROR(G37*1000/E37*1000,0)</f>
        <v>7480.26315789474</v>
      </c>
      <c r="J37" s="13" t="str">
        <f aca="false">IF(F37&gt;=95,"S",IF(F37&gt;=85,"A",IF(F37&gt;=70,"B",IF(F37&gt;=50,"C","D"))))</f>
        <v>B</v>
      </c>
      <c r="K37" s="14" t="s">
        <v>32</v>
      </c>
      <c r="L37" s="17" t="s">
        <v>27</v>
      </c>
    </row>
    <row r="38" customFormat="false" ht="15" hidden="false" customHeight="false" outlineLevel="0" collapsed="false">
      <c r="A38" s="4" t="s">
        <v>80</v>
      </c>
      <c r="B38" s="27" t="s">
        <v>19</v>
      </c>
      <c r="C38" s="6" t="s">
        <v>16</v>
      </c>
      <c r="D38" s="28" t="n">
        <v>500</v>
      </c>
      <c r="E38" s="29" t="n">
        <v>328000</v>
      </c>
      <c r="F38" s="30" t="n">
        <v>89.9</v>
      </c>
      <c r="G38" s="31" t="n">
        <v>2453</v>
      </c>
      <c r="H38" s="32" t="n">
        <v>125296</v>
      </c>
      <c r="I38" s="33" t="n">
        <f aca="false">IFERROR(G38*1000/E38*1000,0)</f>
        <v>7478.65853658537</v>
      </c>
      <c r="J38" s="13" t="str">
        <f aca="false">IF(F38&gt;=95,"S",IF(F38&gt;=85,"A",IF(F38&gt;=70,"B",IF(F38&gt;=50,"C","D"))))</f>
        <v>A</v>
      </c>
      <c r="K38" s="14" t="s">
        <v>17</v>
      </c>
      <c r="L38" s="19" t="s">
        <v>33</v>
      </c>
    </row>
    <row r="39" customFormat="false" ht="15" hidden="false" customHeight="false" outlineLevel="0" collapsed="false">
      <c r="A39" s="4" t="s">
        <v>80</v>
      </c>
      <c r="B39" s="27" t="s">
        <v>22</v>
      </c>
      <c r="C39" s="6" t="s">
        <v>16</v>
      </c>
      <c r="D39" s="28" t="n">
        <v>512</v>
      </c>
      <c r="E39" s="29" t="n">
        <v>320000</v>
      </c>
      <c r="F39" s="30" t="n">
        <v>85.7</v>
      </c>
      <c r="G39" s="31" t="n">
        <v>2394</v>
      </c>
      <c r="H39" s="32" t="n">
        <v>122240</v>
      </c>
      <c r="I39" s="33" t="n">
        <f aca="false">IFERROR(G39*1000/E39*1000,0)</f>
        <v>7481.25</v>
      </c>
      <c r="J39" s="13" t="str">
        <f aca="false">IF(F39&gt;=95,"S",IF(F39&gt;=85,"A",IF(F39&gt;=70,"B",IF(F39&gt;=50,"C","D"))))</f>
        <v>A</v>
      </c>
      <c r="K39" s="14" t="s">
        <v>35</v>
      </c>
      <c r="L39" s="16" t="s">
        <v>21</v>
      </c>
    </row>
    <row r="40" customFormat="false" ht="15" hidden="false" customHeight="false" outlineLevel="0" collapsed="false">
      <c r="A40" s="4" t="s">
        <v>80</v>
      </c>
      <c r="B40" s="27" t="s">
        <v>24</v>
      </c>
      <c r="C40" s="6" t="s">
        <v>16</v>
      </c>
      <c r="D40" s="28" t="n">
        <v>500</v>
      </c>
      <c r="E40" s="29" t="n">
        <v>321000</v>
      </c>
      <c r="F40" s="30" t="n">
        <v>88</v>
      </c>
      <c r="G40" s="31" t="n">
        <v>2401</v>
      </c>
      <c r="H40" s="32" t="n">
        <v>122622</v>
      </c>
      <c r="I40" s="33" t="n">
        <f aca="false">IFERROR(G40*1000/E40*1000,0)</f>
        <v>7479.7507788162</v>
      </c>
      <c r="J40" s="13" t="str">
        <f aca="false">IF(F40&gt;=95,"S",IF(F40&gt;=85,"A",IF(F40&gt;=70,"B",IF(F40&gt;=50,"C","D"))))</f>
        <v>A</v>
      </c>
      <c r="K40" s="14" t="s">
        <v>26</v>
      </c>
      <c r="L40" s="15" t="s">
        <v>18</v>
      </c>
    </row>
    <row r="41" customFormat="false" ht="15" hidden="false" customHeight="false" outlineLevel="0" collapsed="false">
      <c r="A41" s="4" t="s">
        <v>80</v>
      </c>
      <c r="B41" s="27" t="s">
        <v>25</v>
      </c>
      <c r="C41" s="6" t="s">
        <v>16</v>
      </c>
      <c r="D41" s="28" t="n">
        <v>500</v>
      </c>
      <c r="E41" s="29" t="n">
        <v>323000</v>
      </c>
      <c r="F41" s="30" t="n">
        <v>88.5</v>
      </c>
      <c r="G41" s="31" t="n">
        <v>2416</v>
      </c>
      <c r="H41" s="32" t="n">
        <v>123386</v>
      </c>
      <c r="I41" s="33" t="n">
        <f aca="false">IFERROR(G41*1000/E41*1000,0)</f>
        <v>7479.87616099071</v>
      </c>
      <c r="J41" s="13" t="str">
        <f aca="false">IF(F41&gt;=95,"S",IF(F41&gt;=85,"A",IF(F41&gt;=70,"B",IF(F41&gt;=50,"C","D"))))</f>
        <v>A</v>
      </c>
      <c r="K41" s="14" t="s">
        <v>26</v>
      </c>
      <c r="L41" s="20" t="s">
        <v>36</v>
      </c>
    </row>
    <row r="42" customFormat="false" ht="15" hidden="false" customHeight="false" outlineLevel="0" collapsed="false">
      <c r="A42" s="4" t="s">
        <v>80</v>
      </c>
      <c r="B42" s="27" t="s">
        <v>28</v>
      </c>
      <c r="C42" s="6" t="s">
        <v>16</v>
      </c>
      <c r="D42" s="28" t="n">
        <v>480</v>
      </c>
      <c r="E42" s="29" t="n">
        <v>305000</v>
      </c>
      <c r="F42" s="30" t="n">
        <v>87.1</v>
      </c>
      <c r="G42" s="31" t="n">
        <v>2281</v>
      </c>
      <c r="H42" s="32" t="n">
        <v>116510</v>
      </c>
      <c r="I42" s="33" t="n">
        <f aca="false">IFERROR(G42*1000/E42*1000,0)</f>
        <v>7478.68852459016</v>
      </c>
      <c r="J42" s="13" t="str">
        <f aca="false">IF(F42&gt;=95,"S",IF(F42&gt;=85,"A",IF(F42&gt;=70,"B",IF(F42&gt;=50,"C","D"))))</f>
        <v>A</v>
      </c>
      <c r="K42" s="34"/>
      <c r="L42" s="16" t="s">
        <v>21</v>
      </c>
    </row>
    <row r="43" customFormat="false" ht="15" hidden="false" customHeight="false" outlineLevel="0" collapsed="false">
      <c r="A43" s="4" t="s">
        <v>80</v>
      </c>
      <c r="B43" s="27" t="s">
        <v>29</v>
      </c>
      <c r="C43" s="6" t="s">
        <v>16</v>
      </c>
      <c r="D43" s="28" t="n">
        <v>480</v>
      </c>
      <c r="E43" s="29" t="n">
        <v>299000</v>
      </c>
      <c r="F43" s="30" t="n">
        <v>85.4</v>
      </c>
      <c r="G43" s="31" t="n">
        <v>2237</v>
      </c>
      <c r="H43" s="32" t="n">
        <v>114218</v>
      </c>
      <c r="I43" s="33" t="n">
        <f aca="false">IFERROR(G43*1000/E43*1000,0)</f>
        <v>7481.60535117057</v>
      </c>
      <c r="J43" s="13" t="str">
        <f aca="false">IF(F43&gt;=95,"S",IF(F43&gt;=85,"A",IF(F43&gt;=70,"B",IF(F43&gt;=50,"C","D"))))</f>
        <v>A</v>
      </c>
      <c r="K43" s="14" t="s">
        <v>20</v>
      </c>
      <c r="L43" s="19" t="s">
        <v>33</v>
      </c>
    </row>
    <row r="44" customFormat="false" ht="15" hidden="false" customHeight="false" outlineLevel="0" collapsed="false">
      <c r="A44" s="4" t="s">
        <v>80</v>
      </c>
      <c r="B44" s="27" t="s">
        <v>31</v>
      </c>
      <c r="C44" s="6" t="s">
        <v>16</v>
      </c>
      <c r="D44" s="28" t="n">
        <v>495</v>
      </c>
      <c r="E44" s="29" t="n">
        <v>318000</v>
      </c>
      <c r="F44" s="30" t="n">
        <v>88</v>
      </c>
      <c r="G44" s="31" t="n">
        <v>2379</v>
      </c>
      <c r="H44" s="32" t="n">
        <v>121476</v>
      </c>
      <c r="I44" s="33" t="n">
        <f aca="false">IFERROR(G44*1000/E44*1000,0)</f>
        <v>7481.1320754717</v>
      </c>
      <c r="J44" s="13" t="str">
        <f aca="false">IF(F44&gt;=95,"S",IF(F44&gt;=85,"A",IF(F44&gt;=70,"B",IF(F44&gt;=50,"C","D"))))</f>
        <v>A</v>
      </c>
      <c r="K44" s="14" t="s">
        <v>17</v>
      </c>
      <c r="L44" s="16" t="s">
        <v>21</v>
      </c>
    </row>
    <row r="45" customFormat="false" ht="15" hidden="false" customHeight="false" outlineLevel="0" collapsed="false">
      <c r="A45" s="4" t="s">
        <v>80</v>
      </c>
      <c r="B45" s="27" t="s">
        <v>34</v>
      </c>
      <c r="C45" s="6" t="s">
        <v>16</v>
      </c>
      <c r="D45" s="28" t="n">
        <v>500</v>
      </c>
      <c r="E45" s="29" t="n">
        <v>315000</v>
      </c>
      <c r="F45" s="30" t="n">
        <v>86.4</v>
      </c>
      <c r="G45" s="31" t="n">
        <v>2356</v>
      </c>
      <c r="H45" s="32" t="n">
        <v>120330</v>
      </c>
      <c r="I45" s="33" t="n">
        <f aca="false">IFERROR(G45*1000/E45*1000,0)</f>
        <v>7479.36507936508</v>
      </c>
      <c r="J45" s="13" t="str">
        <f aca="false">IF(F45&gt;=95,"S",IF(F45&gt;=85,"A",IF(F45&gt;=70,"B",IF(F45&gt;=50,"C","D"))))</f>
        <v>A</v>
      </c>
      <c r="K45" s="14" t="s">
        <v>33</v>
      </c>
      <c r="L45" s="20" t="s">
        <v>36</v>
      </c>
    </row>
    <row r="46" customFormat="false" ht="15" hidden="false" customHeight="false" outlineLevel="0" collapsed="false">
      <c r="A46" s="4" t="s">
        <v>80</v>
      </c>
      <c r="B46" s="27" t="s">
        <v>37</v>
      </c>
      <c r="C46" s="6" t="s">
        <v>16</v>
      </c>
      <c r="D46" s="28" t="n">
        <v>520</v>
      </c>
      <c r="E46" s="29" t="n">
        <v>338000</v>
      </c>
      <c r="F46" s="30" t="n">
        <v>89.1</v>
      </c>
      <c r="G46" s="31" t="n">
        <v>2528</v>
      </c>
      <c r="H46" s="32" t="n">
        <v>129116</v>
      </c>
      <c r="I46" s="33" t="n">
        <f aca="false">IFERROR(G46*1000/E46*1000,0)</f>
        <v>7479.2899408284</v>
      </c>
      <c r="J46" s="13" t="str">
        <f aca="false">IF(F46&gt;=95,"S",IF(F46&gt;=85,"A",IF(F46&gt;=70,"B",IF(F46&gt;=50,"C","D"))))</f>
        <v>A</v>
      </c>
      <c r="K46" s="14" t="s">
        <v>26</v>
      </c>
      <c r="L46" s="16" t="s">
        <v>21</v>
      </c>
    </row>
    <row r="47" customFormat="false" ht="15" hidden="false" customHeight="false" outlineLevel="0" collapsed="false">
      <c r="A47" s="4" t="s">
        <v>80</v>
      </c>
      <c r="B47" s="27" t="s">
        <v>39</v>
      </c>
      <c r="C47" s="6" t="s">
        <v>16</v>
      </c>
      <c r="D47" s="28" t="n">
        <v>520</v>
      </c>
      <c r="E47" s="29" t="n">
        <v>333000</v>
      </c>
      <c r="F47" s="30" t="n">
        <v>87.7</v>
      </c>
      <c r="G47" s="31" t="n">
        <v>2491</v>
      </c>
      <c r="H47" s="32" t="n">
        <v>127206</v>
      </c>
      <c r="I47" s="33" t="n">
        <f aca="false">IFERROR(G47*1000/E47*1000,0)</f>
        <v>7480.48048048048</v>
      </c>
      <c r="J47" s="13" t="str">
        <f aca="false">IF(F47&gt;=95,"S",IF(F47&gt;=85,"A",IF(F47&gt;=70,"B",IF(F47&gt;=50,"C","D"))))</f>
        <v>A</v>
      </c>
      <c r="K47" s="14" t="s">
        <v>26</v>
      </c>
      <c r="L47" s="16" t="s">
        <v>21</v>
      </c>
    </row>
    <row r="48" customFormat="false" ht="15" hidden="false" customHeight="false" outlineLevel="0" collapsed="false">
      <c r="A48" s="4" t="s">
        <v>80</v>
      </c>
      <c r="B48" s="27" t="s">
        <v>40</v>
      </c>
      <c r="C48" s="6" t="s">
        <v>16</v>
      </c>
      <c r="D48" s="28" t="n">
        <v>530</v>
      </c>
      <c r="E48" s="29" t="n">
        <v>324000</v>
      </c>
      <c r="F48" s="30" t="n">
        <v>83.9</v>
      </c>
      <c r="G48" s="31" t="n">
        <v>2424</v>
      </c>
      <c r="H48" s="32" t="n">
        <v>123768</v>
      </c>
      <c r="I48" s="33" t="n">
        <f aca="false">IFERROR(G48*1000/E48*1000,0)</f>
        <v>7481.48148148148</v>
      </c>
      <c r="J48" s="13" t="str">
        <f aca="false">IF(F48&gt;=95,"S",IF(F48&gt;=85,"A",IF(F48&gt;=70,"B",IF(F48&gt;=50,"C","D"))))</f>
        <v>B</v>
      </c>
      <c r="K48" s="14" t="s">
        <v>44</v>
      </c>
      <c r="L48" s="20" t="s">
        <v>36</v>
      </c>
    </row>
    <row r="49" customFormat="false" ht="15" hidden="false" customHeight="false" outlineLevel="0" collapsed="false">
      <c r="A49" s="4" t="s">
        <v>80</v>
      </c>
      <c r="B49" s="27" t="s">
        <v>41</v>
      </c>
      <c r="C49" s="6" t="s">
        <v>16</v>
      </c>
      <c r="D49" s="28" t="n">
        <v>510</v>
      </c>
      <c r="E49" s="29" t="n">
        <v>313000</v>
      </c>
      <c r="F49" s="30" t="n">
        <v>84.2</v>
      </c>
      <c r="G49" s="31" t="n">
        <v>2341</v>
      </c>
      <c r="H49" s="32" t="n">
        <v>119566</v>
      </c>
      <c r="I49" s="33" t="n">
        <f aca="false">IFERROR(G49*1000/E49*1000,0)</f>
        <v>7479.23322683706</v>
      </c>
      <c r="J49" s="13" t="str">
        <f aca="false">IF(F49&gt;=95,"S",IF(F49&gt;=85,"A",IF(F49&gt;=70,"B",IF(F49&gt;=50,"C","D"))))</f>
        <v>B</v>
      </c>
      <c r="K49" s="34"/>
      <c r="L49" s="16" t="s">
        <v>21</v>
      </c>
    </row>
    <row r="50" customFormat="false" ht="15" hidden="false" customHeight="false" outlineLevel="0" collapsed="false">
      <c r="A50" s="4" t="s">
        <v>80</v>
      </c>
      <c r="B50" s="27" t="s">
        <v>42</v>
      </c>
      <c r="C50" s="6" t="s">
        <v>16</v>
      </c>
      <c r="D50" s="28" t="n">
        <v>510</v>
      </c>
      <c r="E50" s="29" t="n">
        <v>309000</v>
      </c>
      <c r="F50" s="30" t="n">
        <v>83.2</v>
      </c>
      <c r="G50" s="31" t="n">
        <v>2311</v>
      </c>
      <c r="H50" s="32" t="n">
        <v>118038</v>
      </c>
      <c r="I50" s="33" t="n">
        <f aca="false">IFERROR(G50*1000/E50*1000,0)</f>
        <v>7478.9644012945</v>
      </c>
      <c r="J50" s="13" t="str">
        <f aca="false">IF(F50&gt;=95,"S",IF(F50&gt;=85,"A",IF(F50&gt;=70,"B",IF(F50&gt;=50,"C","D"))))</f>
        <v>B</v>
      </c>
      <c r="K50" s="14" t="s">
        <v>23</v>
      </c>
      <c r="L50" s="15" t="s">
        <v>18</v>
      </c>
    </row>
    <row r="51" customFormat="false" ht="15" hidden="false" customHeight="false" outlineLevel="0" collapsed="false">
      <c r="A51" s="4" t="s">
        <v>80</v>
      </c>
      <c r="B51" s="27" t="s">
        <v>43</v>
      </c>
      <c r="C51" s="6" t="s">
        <v>16</v>
      </c>
      <c r="D51" s="28" t="n">
        <v>495</v>
      </c>
      <c r="E51" s="29" t="n">
        <v>324000</v>
      </c>
      <c r="F51" s="30" t="n">
        <v>89.7</v>
      </c>
      <c r="G51" s="31" t="n">
        <v>2424</v>
      </c>
      <c r="H51" s="32" t="n">
        <v>123768</v>
      </c>
      <c r="I51" s="33" t="n">
        <f aca="false">IFERROR(G51*1000/E51*1000,0)</f>
        <v>7481.48148148148</v>
      </c>
      <c r="J51" s="13" t="str">
        <f aca="false">IF(F51&gt;=95,"S",IF(F51&gt;=85,"A",IF(F51&gt;=70,"B",IF(F51&gt;=50,"C","D"))))</f>
        <v>A</v>
      </c>
      <c r="K51" s="14" t="s">
        <v>20</v>
      </c>
      <c r="L51" s="17" t="s">
        <v>27</v>
      </c>
    </row>
    <row r="52" customFormat="false" ht="15" hidden="false" customHeight="false" outlineLevel="0" collapsed="false">
      <c r="A52" s="4" t="s">
        <v>80</v>
      </c>
      <c r="B52" s="35" t="s">
        <v>45</v>
      </c>
      <c r="C52" s="22" t="s">
        <v>46</v>
      </c>
      <c r="D52" s="28" t="n">
        <v>200</v>
      </c>
      <c r="E52" s="29" t="n">
        <v>130000</v>
      </c>
      <c r="F52" s="30" t="n">
        <v>89.2</v>
      </c>
      <c r="G52" s="31" t="n">
        <v>965</v>
      </c>
      <c r="H52" s="32" t="n">
        <v>39130</v>
      </c>
      <c r="I52" s="33" t="n">
        <f aca="false">IFERROR(G52*1000/E52*1000,0)</f>
        <v>7423.07692307692</v>
      </c>
      <c r="J52" s="13" t="str">
        <f aca="false">IF(F52&gt;=95,"S",IF(F52&gt;=85,"A",IF(F52&gt;=70,"B",IF(F52&gt;=50,"C","D"))))</f>
        <v>A</v>
      </c>
      <c r="K52" s="24" t="s">
        <v>81</v>
      </c>
      <c r="L52" s="16" t="s">
        <v>21</v>
      </c>
    </row>
    <row r="53" customFormat="false" ht="15" hidden="false" customHeight="false" outlineLevel="0" collapsed="false">
      <c r="A53" s="4" t="s">
        <v>80</v>
      </c>
      <c r="B53" s="35" t="s">
        <v>48</v>
      </c>
      <c r="C53" s="22" t="s">
        <v>46</v>
      </c>
      <c r="D53" s="28" t="n">
        <v>220</v>
      </c>
      <c r="E53" s="29" t="n">
        <v>141000</v>
      </c>
      <c r="F53" s="30" t="n">
        <v>88</v>
      </c>
      <c r="G53" s="31" t="n">
        <v>1046</v>
      </c>
      <c r="H53" s="32" t="n">
        <v>42441</v>
      </c>
      <c r="I53" s="33" t="n">
        <f aca="false">IFERROR(G53*1000/E53*1000,0)</f>
        <v>7418.43971631206</v>
      </c>
      <c r="J53" s="13" t="str">
        <f aca="false">IF(F53&gt;=95,"S",IF(F53&gt;=85,"A",IF(F53&gt;=70,"B",IF(F53&gt;=50,"C","D"))))</f>
        <v>A</v>
      </c>
      <c r="K53" s="14" t="s">
        <v>49</v>
      </c>
      <c r="L53" s="16" t="s">
        <v>21</v>
      </c>
    </row>
    <row r="54" customFormat="false" ht="15" hidden="false" customHeight="false" outlineLevel="0" collapsed="false">
      <c r="A54" s="4" t="s">
        <v>80</v>
      </c>
      <c r="B54" s="27" t="s">
        <v>50</v>
      </c>
      <c r="C54" s="23" t="s">
        <v>51</v>
      </c>
      <c r="D54" s="28" t="n">
        <v>147</v>
      </c>
      <c r="E54" s="29" t="n">
        <v>41000</v>
      </c>
      <c r="F54" s="30" t="n">
        <v>38.6</v>
      </c>
      <c r="G54" s="31" t="n">
        <v>0</v>
      </c>
      <c r="H54" s="32" t="n">
        <v>0</v>
      </c>
      <c r="I54" s="33" t="n">
        <v>0</v>
      </c>
      <c r="J54" s="13" t="str">
        <f aca="false">IF(F54&gt;=95,"S",IF(F54&gt;=85,"A",IF(F54&gt;=70,"B",IF(F54&gt;=50,"C","D"))))</f>
        <v>D</v>
      </c>
      <c r="K54" s="14" t="s">
        <v>82</v>
      </c>
      <c r="L54" s="16" t="s">
        <v>21</v>
      </c>
    </row>
    <row r="55" customFormat="false" ht="15" hidden="false" customHeight="false" outlineLevel="0" collapsed="false">
      <c r="A55" s="4" t="s">
        <v>80</v>
      </c>
      <c r="B55" s="27" t="s">
        <v>53</v>
      </c>
      <c r="C55" s="23" t="s">
        <v>51</v>
      </c>
      <c r="D55" s="28" t="n">
        <v>320</v>
      </c>
      <c r="E55" s="29" t="n">
        <v>73000</v>
      </c>
      <c r="F55" s="30" t="n">
        <v>31.3</v>
      </c>
      <c r="G55" s="31" t="n">
        <v>0</v>
      </c>
      <c r="H55" s="32" t="n">
        <v>0</v>
      </c>
      <c r="I55" s="33" t="n">
        <v>0</v>
      </c>
      <c r="J55" s="13" t="str">
        <f aca="false">IF(F55&gt;=95,"S",IF(F55&gt;=85,"A",IF(F55&gt;=70,"B",IF(F55&gt;=50,"C","D"))))</f>
        <v>D</v>
      </c>
      <c r="K55" s="24" t="s">
        <v>54</v>
      </c>
      <c r="L55" s="17" t="s">
        <v>27</v>
      </c>
    </row>
    <row r="56" customFormat="false" ht="15" hidden="false" customHeight="false" outlineLevel="0" collapsed="false">
      <c r="A56" s="4" t="s">
        <v>80</v>
      </c>
      <c r="B56" s="27" t="s">
        <v>55</v>
      </c>
      <c r="C56" s="23" t="s">
        <v>51</v>
      </c>
      <c r="D56" s="28" t="n">
        <v>250</v>
      </c>
      <c r="E56" s="29" t="n">
        <v>72000</v>
      </c>
      <c r="F56" s="30" t="n">
        <v>39.7</v>
      </c>
      <c r="G56" s="31" t="n">
        <v>0</v>
      </c>
      <c r="H56" s="32" t="n">
        <v>0</v>
      </c>
      <c r="I56" s="33" t="n">
        <v>0</v>
      </c>
      <c r="J56" s="13" t="str">
        <f aca="false">IF(F56&gt;=95,"S",IF(F56&gt;=85,"A",IF(F56&gt;=70,"B",IF(F56&gt;=50,"C","D"))))</f>
        <v>D</v>
      </c>
      <c r="K56" s="14" t="s">
        <v>67</v>
      </c>
      <c r="L56" s="16" t="s">
        <v>21</v>
      </c>
    </row>
    <row r="57" customFormat="false" ht="15" hidden="false" customHeight="false" outlineLevel="0" collapsed="false">
      <c r="A57" s="4" t="s">
        <v>80</v>
      </c>
      <c r="B57" s="27" t="s">
        <v>57</v>
      </c>
      <c r="C57" s="23" t="s">
        <v>51</v>
      </c>
      <c r="D57" s="28" t="n">
        <v>180</v>
      </c>
      <c r="E57" s="29" t="n">
        <v>48000</v>
      </c>
      <c r="F57" s="30" t="n">
        <v>37.3</v>
      </c>
      <c r="G57" s="31" t="n">
        <v>0</v>
      </c>
      <c r="H57" s="32" t="n">
        <v>0</v>
      </c>
      <c r="I57" s="33" t="n">
        <v>0</v>
      </c>
      <c r="J57" s="13" t="str">
        <f aca="false">IF(F57&gt;=95,"S",IF(F57&gt;=85,"A",IF(F57&gt;=70,"B",IF(F57&gt;=50,"C","D"))))</f>
        <v>D</v>
      </c>
      <c r="K57" s="14" t="s">
        <v>67</v>
      </c>
      <c r="L57" s="17" t="s">
        <v>27</v>
      </c>
    </row>
    <row r="58" customFormat="false" ht="15" hidden="false" customHeight="false" outlineLevel="0" collapsed="false">
      <c r="A58" s="4" t="s">
        <v>80</v>
      </c>
      <c r="B58" s="27" t="s">
        <v>58</v>
      </c>
      <c r="C58" s="23" t="s">
        <v>51</v>
      </c>
      <c r="D58" s="28" t="n">
        <v>95</v>
      </c>
      <c r="E58" s="29" t="n">
        <v>22000</v>
      </c>
      <c r="F58" s="30" t="n">
        <v>32.7</v>
      </c>
      <c r="G58" s="31" t="n">
        <v>0</v>
      </c>
      <c r="H58" s="32" t="n">
        <v>0</v>
      </c>
      <c r="I58" s="33" t="n">
        <v>0</v>
      </c>
      <c r="J58" s="13" t="str">
        <f aca="false">IF(F58&gt;=95,"S",IF(F58&gt;=85,"A",IF(F58&gt;=70,"B",IF(F58&gt;=50,"C","D"))))</f>
        <v>D</v>
      </c>
      <c r="K58" s="24" t="s">
        <v>54</v>
      </c>
      <c r="L58" s="15" t="s">
        <v>18</v>
      </c>
    </row>
    <row r="59" customFormat="false" ht="15" hidden="false" customHeight="false" outlineLevel="0" collapsed="false">
      <c r="A59" s="4" t="s">
        <v>80</v>
      </c>
      <c r="B59" s="27" t="s">
        <v>59</v>
      </c>
      <c r="C59" s="23" t="s">
        <v>51</v>
      </c>
      <c r="D59" s="28" t="n">
        <v>32</v>
      </c>
      <c r="E59" s="29" t="n">
        <v>1000</v>
      </c>
      <c r="F59" s="30" t="n">
        <v>8.2</v>
      </c>
      <c r="G59" s="31" t="n">
        <v>0</v>
      </c>
      <c r="H59" s="32" t="n">
        <v>0</v>
      </c>
      <c r="I59" s="33" t="n">
        <v>0</v>
      </c>
      <c r="J59" s="13" t="str">
        <f aca="false">IF(F59&gt;=95,"S",IF(F59&gt;=85,"A",IF(F59&gt;=70,"B",IF(F59&gt;=50,"C","D"))))</f>
        <v>D</v>
      </c>
      <c r="K59" s="14" t="s">
        <v>63</v>
      </c>
      <c r="L59" s="16" t="s">
        <v>21</v>
      </c>
    </row>
    <row r="60" customFormat="false" ht="15" hidden="false" customHeight="false" outlineLevel="0" collapsed="false">
      <c r="A60" s="4" t="s">
        <v>80</v>
      </c>
      <c r="B60" s="27" t="s">
        <v>61</v>
      </c>
      <c r="C60" s="23" t="s">
        <v>51</v>
      </c>
      <c r="D60" s="28" t="n">
        <v>220</v>
      </c>
      <c r="E60" s="29" t="n">
        <v>15000</v>
      </c>
      <c r="F60" s="30" t="n">
        <v>9.9</v>
      </c>
      <c r="G60" s="31" t="n">
        <v>0</v>
      </c>
      <c r="H60" s="32" t="n">
        <v>0</v>
      </c>
      <c r="I60" s="33" t="n">
        <v>0</v>
      </c>
      <c r="J60" s="13" t="str">
        <f aca="false">IF(F60&gt;=95,"S",IF(F60&gt;=85,"A",IF(F60&gt;=70,"B",IF(F60&gt;=50,"C","D"))))</f>
        <v>D</v>
      </c>
      <c r="K60" s="24" t="s">
        <v>54</v>
      </c>
      <c r="L60" s="16" t="s">
        <v>21</v>
      </c>
    </row>
    <row r="61" customFormat="false" ht="15" hidden="false" customHeight="false" outlineLevel="0" collapsed="false">
      <c r="A61" s="4" t="s">
        <v>80</v>
      </c>
      <c r="B61" s="27" t="s">
        <v>62</v>
      </c>
      <c r="C61" s="23" t="s">
        <v>51</v>
      </c>
      <c r="D61" s="28" t="n">
        <v>85</v>
      </c>
      <c r="E61" s="29" t="n">
        <v>5000</v>
      </c>
      <c r="F61" s="30" t="n">
        <v>8.8</v>
      </c>
      <c r="G61" s="31" t="n">
        <v>0</v>
      </c>
      <c r="H61" s="32" t="n">
        <v>0</v>
      </c>
      <c r="I61" s="33" t="n">
        <v>0</v>
      </c>
      <c r="J61" s="13" t="str">
        <f aca="false">IF(F61&gt;=95,"S",IF(F61&gt;=85,"A",IF(F61&gt;=70,"B",IF(F61&gt;=50,"C","D"))))</f>
        <v>D</v>
      </c>
      <c r="K61" s="14" t="s">
        <v>63</v>
      </c>
      <c r="L61" s="16" t="s">
        <v>21</v>
      </c>
    </row>
    <row r="62" customFormat="false" ht="15" hidden="false" customHeight="false" outlineLevel="0" collapsed="false">
      <c r="A62" s="4" t="s">
        <v>80</v>
      </c>
      <c r="B62" s="27" t="s">
        <v>64</v>
      </c>
      <c r="C62" s="23" t="s">
        <v>51</v>
      </c>
      <c r="D62" s="28" t="n">
        <v>60</v>
      </c>
      <c r="E62" s="29" t="n">
        <v>3000</v>
      </c>
      <c r="F62" s="30" t="n">
        <v>8.9</v>
      </c>
      <c r="G62" s="31" t="n">
        <v>0</v>
      </c>
      <c r="H62" s="32" t="n">
        <v>0</v>
      </c>
      <c r="I62" s="33" t="n">
        <v>0</v>
      </c>
      <c r="J62" s="13" t="str">
        <f aca="false">IF(F62&gt;=95,"S",IF(F62&gt;=85,"A",IF(F62&gt;=70,"B",IF(F62&gt;=50,"C","D"))))</f>
        <v>D</v>
      </c>
      <c r="K62" s="14" t="s">
        <v>65</v>
      </c>
      <c r="L62" s="20" t="s">
        <v>36</v>
      </c>
    </row>
    <row r="63" customFormat="false" ht="15" hidden="false" customHeight="false" outlineLevel="0" collapsed="false">
      <c r="A63" s="4" t="s">
        <v>80</v>
      </c>
      <c r="B63" s="27" t="s">
        <v>66</v>
      </c>
      <c r="C63" s="23" t="s">
        <v>51</v>
      </c>
      <c r="D63" s="28" t="n">
        <v>75</v>
      </c>
      <c r="E63" s="29" t="n">
        <v>4000</v>
      </c>
      <c r="F63" s="30" t="n">
        <v>7.5</v>
      </c>
      <c r="G63" s="31" t="n">
        <v>0</v>
      </c>
      <c r="H63" s="32" t="n">
        <v>0</v>
      </c>
      <c r="I63" s="33" t="n">
        <v>0</v>
      </c>
      <c r="J63" s="13" t="str">
        <f aca="false">IF(F63&gt;=95,"S",IF(F63&gt;=85,"A",IF(F63&gt;=70,"B",IF(F63&gt;=50,"C","D"))))</f>
        <v>D</v>
      </c>
      <c r="K63" s="14" t="s">
        <v>52</v>
      </c>
      <c r="L63" s="20" t="s">
        <v>36</v>
      </c>
    </row>
    <row r="64" customFormat="false" ht="15" hidden="false" customHeight="false" outlineLevel="0" collapsed="false">
      <c r="A64" s="4" t="s">
        <v>80</v>
      </c>
      <c r="B64" s="27" t="s">
        <v>68</v>
      </c>
      <c r="C64" s="25" t="s">
        <v>69</v>
      </c>
      <c r="D64" s="28" t="n">
        <v>460</v>
      </c>
      <c r="E64" s="29" t="n">
        <v>272000</v>
      </c>
      <c r="F64" s="30" t="n">
        <v>81.2</v>
      </c>
      <c r="G64" s="31" t="n">
        <v>1863</v>
      </c>
      <c r="H64" s="32" t="n">
        <v>72080</v>
      </c>
      <c r="I64" s="33" t="n">
        <f aca="false">IFERROR(G64*1000/E64*1000,0)</f>
        <v>6849.26470588235</v>
      </c>
      <c r="J64" s="13" t="str">
        <f aca="false">IF(F64&gt;=95,"S",IF(F64&gt;=85,"A",IF(F64&gt;=70,"B",IF(F64&gt;=50,"C","D"))))</f>
        <v>B</v>
      </c>
      <c r="K64" s="14" t="s">
        <v>83</v>
      </c>
      <c r="L64" s="16" t="s">
        <v>21</v>
      </c>
    </row>
    <row r="65" customFormat="false" ht="15" hidden="false" customHeight="false" outlineLevel="0" collapsed="false">
      <c r="A65" s="4" t="s">
        <v>80</v>
      </c>
      <c r="B65" s="27" t="s">
        <v>71</v>
      </c>
      <c r="C65" s="25" t="s">
        <v>69</v>
      </c>
      <c r="D65" s="28" t="n">
        <v>460</v>
      </c>
      <c r="E65" s="29" t="n">
        <v>267000</v>
      </c>
      <c r="F65" s="30" t="n">
        <v>79.7</v>
      </c>
      <c r="G65" s="31" t="n">
        <v>1829</v>
      </c>
      <c r="H65" s="32" t="n">
        <v>70755</v>
      </c>
      <c r="I65" s="33" t="n">
        <f aca="false">IFERROR(G65*1000/E65*1000,0)</f>
        <v>6850.1872659176</v>
      </c>
      <c r="J65" s="13" t="str">
        <f aca="false">IF(F65&gt;=95,"S",IF(F65&gt;=85,"A",IF(F65&gt;=70,"B",IF(F65&gt;=50,"C","D"))))</f>
        <v>B</v>
      </c>
      <c r="K65" s="14" t="s">
        <v>83</v>
      </c>
      <c r="L65" s="16" t="s">
        <v>21</v>
      </c>
    </row>
    <row r="66" customFormat="false" ht="15" hidden="false" customHeight="false" outlineLevel="0" collapsed="false">
      <c r="A66" s="4" t="s">
        <v>80</v>
      </c>
      <c r="B66" s="27" t="s">
        <v>73</v>
      </c>
      <c r="C66" s="26" t="s">
        <v>74</v>
      </c>
      <c r="D66" s="28" t="n">
        <v>80</v>
      </c>
      <c r="E66" s="29" t="n">
        <v>23000</v>
      </c>
      <c r="F66" s="30" t="n">
        <v>41.1</v>
      </c>
      <c r="G66" s="31" t="n">
        <v>0</v>
      </c>
      <c r="H66" s="32" t="n">
        <v>0</v>
      </c>
      <c r="I66" s="33" t="n">
        <v>0</v>
      </c>
      <c r="J66" s="13" t="str">
        <f aca="false">IF(F66&gt;=95,"S",IF(F66&gt;=85,"A",IF(F66&gt;=70,"B",IF(F66&gt;=50,"C","D"))))</f>
        <v>D</v>
      </c>
      <c r="K66" s="24" t="s">
        <v>79</v>
      </c>
      <c r="L66" s="16" t="s">
        <v>21</v>
      </c>
    </row>
    <row r="67" customFormat="false" ht="15" hidden="false" customHeight="false" outlineLevel="0" collapsed="false">
      <c r="A67" s="4" t="s">
        <v>80</v>
      </c>
      <c r="B67" s="27" t="s">
        <v>76</v>
      </c>
      <c r="C67" s="26" t="s">
        <v>74</v>
      </c>
      <c r="D67" s="28" t="n">
        <v>80</v>
      </c>
      <c r="E67" s="29" t="n">
        <v>23000</v>
      </c>
      <c r="F67" s="30" t="n">
        <v>40.4</v>
      </c>
      <c r="G67" s="31" t="n">
        <v>0</v>
      </c>
      <c r="H67" s="32" t="n">
        <v>0</v>
      </c>
      <c r="I67" s="33" t="n">
        <v>0</v>
      </c>
      <c r="J67" s="13" t="str">
        <f aca="false">IF(F67&gt;=95,"S",IF(F67&gt;=85,"A",IF(F67&gt;=70,"B",IF(F67&gt;=50,"C","D"))))</f>
        <v>D</v>
      </c>
      <c r="K67" s="14" t="s">
        <v>84</v>
      </c>
      <c r="L67" s="19" t="s">
        <v>33</v>
      </c>
    </row>
    <row r="68" customFormat="false" ht="15" hidden="false" customHeight="false" outlineLevel="0" collapsed="false">
      <c r="A68" s="4" t="s">
        <v>80</v>
      </c>
      <c r="B68" s="27" t="s">
        <v>78</v>
      </c>
      <c r="C68" s="26" t="s">
        <v>74</v>
      </c>
      <c r="D68" s="28" t="n">
        <v>100</v>
      </c>
      <c r="E68" s="29" t="n">
        <v>33000</v>
      </c>
      <c r="F68" s="30" t="n">
        <v>45.7</v>
      </c>
      <c r="G68" s="31" t="n">
        <v>0</v>
      </c>
      <c r="H68" s="32" t="n">
        <v>0</v>
      </c>
      <c r="I68" s="33" t="n">
        <v>0</v>
      </c>
      <c r="J68" s="13" t="str">
        <f aca="false">IF(F68&gt;=95,"S",IF(F68&gt;=85,"A",IF(F68&gt;=70,"B",IF(F68&gt;=50,"C","D"))))</f>
        <v>D</v>
      </c>
      <c r="K68" s="14" t="s">
        <v>75</v>
      </c>
      <c r="L68" s="17" t="s">
        <v>27</v>
      </c>
    </row>
    <row r="69" customFormat="false" ht="15" hidden="false" customHeight="false" outlineLevel="0" collapsed="false">
      <c r="A69" s="4" t="s">
        <v>85</v>
      </c>
      <c r="B69" s="5" t="s">
        <v>15</v>
      </c>
      <c r="C69" s="6" t="s">
        <v>16</v>
      </c>
      <c r="D69" s="7" t="n">
        <v>500</v>
      </c>
      <c r="E69" s="8" t="n">
        <v>292000</v>
      </c>
      <c r="F69" s="9" t="n">
        <v>80.1</v>
      </c>
      <c r="G69" s="10" t="n">
        <v>2184</v>
      </c>
      <c r="H69" s="11" t="n">
        <v>111544</v>
      </c>
      <c r="I69" s="12" t="n">
        <f aca="false">IFERROR(G69*1000/E69*1000,0)</f>
        <v>7479.45205479452</v>
      </c>
      <c r="J69" s="13" t="str">
        <f aca="false">IF(F69&gt;=95,"S",IF(F69&gt;=85,"A",IF(F69&gt;=70,"B",IF(F69&gt;=50,"C","D"))))</f>
        <v>B</v>
      </c>
      <c r="K69" s="14" t="s">
        <v>33</v>
      </c>
      <c r="L69" s="17" t="s">
        <v>27</v>
      </c>
    </row>
    <row r="70" customFormat="false" ht="15" hidden="false" customHeight="false" outlineLevel="0" collapsed="false">
      <c r="A70" s="4" t="s">
        <v>85</v>
      </c>
      <c r="B70" s="5" t="s">
        <v>19</v>
      </c>
      <c r="C70" s="6" t="s">
        <v>16</v>
      </c>
      <c r="D70" s="7" t="n">
        <v>500</v>
      </c>
      <c r="E70" s="8" t="n">
        <v>285000</v>
      </c>
      <c r="F70" s="9" t="n">
        <v>78.3</v>
      </c>
      <c r="G70" s="10" t="n">
        <v>2132</v>
      </c>
      <c r="H70" s="11" t="n">
        <v>108870</v>
      </c>
      <c r="I70" s="12" t="n">
        <f aca="false">IFERROR(G70*1000/E70*1000,0)</f>
        <v>7480.70175438597</v>
      </c>
      <c r="J70" s="13" t="str">
        <f aca="false">IF(F70&gt;=95,"S",IF(F70&gt;=85,"A",IF(F70&gt;=70,"B",IF(F70&gt;=50,"C","D"))))</f>
        <v>B</v>
      </c>
      <c r="K70" s="14" t="s">
        <v>86</v>
      </c>
      <c r="L70" s="17" t="s">
        <v>27</v>
      </c>
    </row>
    <row r="71" customFormat="false" ht="15" hidden="false" customHeight="false" outlineLevel="0" collapsed="false">
      <c r="A71" s="4" t="s">
        <v>85</v>
      </c>
      <c r="B71" s="5" t="s">
        <v>22</v>
      </c>
      <c r="C71" s="6" t="s">
        <v>16</v>
      </c>
      <c r="D71" s="7" t="n">
        <v>512</v>
      </c>
      <c r="E71" s="8" t="n">
        <v>288000</v>
      </c>
      <c r="F71" s="9" t="n">
        <v>77.2</v>
      </c>
      <c r="G71" s="10" t="n">
        <v>2154</v>
      </c>
      <c r="H71" s="11" t="n">
        <v>110016</v>
      </c>
      <c r="I71" s="12" t="n">
        <f aca="false">IFERROR(G71*1000/E71*1000,0)</f>
        <v>7479.16666666667</v>
      </c>
      <c r="J71" s="13" t="str">
        <f aca="false">IF(F71&gt;=95,"S",IF(F71&gt;=85,"A",IF(F71&gt;=70,"B",IF(F71&gt;=50,"C","D"))))</f>
        <v>B</v>
      </c>
      <c r="K71" s="14" t="s">
        <v>23</v>
      </c>
      <c r="L71" s="16" t="s">
        <v>21</v>
      </c>
    </row>
    <row r="72" customFormat="false" ht="15" hidden="false" customHeight="false" outlineLevel="0" collapsed="false">
      <c r="A72" s="4" t="s">
        <v>85</v>
      </c>
      <c r="B72" s="5" t="s">
        <v>24</v>
      </c>
      <c r="C72" s="6" t="s">
        <v>16</v>
      </c>
      <c r="D72" s="7" t="n">
        <v>500</v>
      </c>
      <c r="E72" s="8" t="n">
        <v>289000</v>
      </c>
      <c r="F72" s="9" t="n">
        <v>79.3</v>
      </c>
      <c r="G72" s="10" t="n">
        <v>2162</v>
      </c>
      <c r="H72" s="11" t="n">
        <v>110398</v>
      </c>
      <c r="I72" s="12" t="n">
        <f aca="false">IFERROR(G72*1000/E72*1000,0)</f>
        <v>7480.96885813149</v>
      </c>
      <c r="J72" s="13" t="str">
        <f aca="false">IF(F72&gt;=95,"S",IF(F72&gt;=85,"A",IF(F72&gt;=70,"B",IF(F72&gt;=50,"C","D"))))</f>
        <v>B</v>
      </c>
      <c r="K72" s="14" t="s">
        <v>20</v>
      </c>
      <c r="L72" s="15" t="s">
        <v>18</v>
      </c>
    </row>
    <row r="73" customFormat="false" ht="15" hidden="false" customHeight="false" outlineLevel="0" collapsed="false">
      <c r="A73" s="4" t="s">
        <v>85</v>
      </c>
      <c r="B73" s="5" t="s">
        <v>25</v>
      </c>
      <c r="C73" s="6" t="s">
        <v>16</v>
      </c>
      <c r="D73" s="7" t="n">
        <v>500</v>
      </c>
      <c r="E73" s="8" t="n">
        <v>283000</v>
      </c>
      <c r="F73" s="9" t="n">
        <v>77.6</v>
      </c>
      <c r="G73" s="10" t="n">
        <v>2117</v>
      </c>
      <c r="H73" s="11" t="n">
        <v>108106</v>
      </c>
      <c r="I73" s="12" t="n">
        <f aca="false">IFERROR(G73*1000/E73*1000,0)</f>
        <v>7480.56537102474</v>
      </c>
      <c r="J73" s="13" t="str">
        <f aca="false">IF(F73&gt;=95,"S",IF(F73&gt;=85,"A",IF(F73&gt;=70,"B",IF(F73&gt;=50,"C","D"))))</f>
        <v>B</v>
      </c>
      <c r="K73" s="14" t="s">
        <v>35</v>
      </c>
      <c r="L73" s="16" t="s">
        <v>21</v>
      </c>
    </row>
    <row r="74" customFormat="false" ht="15" hidden="false" customHeight="false" outlineLevel="0" collapsed="false">
      <c r="A74" s="4" t="s">
        <v>85</v>
      </c>
      <c r="B74" s="5" t="s">
        <v>28</v>
      </c>
      <c r="C74" s="6" t="s">
        <v>16</v>
      </c>
      <c r="D74" s="7" t="n">
        <v>480</v>
      </c>
      <c r="E74" s="8" t="n">
        <v>264000</v>
      </c>
      <c r="F74" s="9" t="n">
        <v>75.4</v>
      </c>
      <c r="G74" s="10" t="n">
        <v>1975</v>
      </c>
      <c r="H74" s="11" t="n">
        <v>100848</v>
      </c>
      <c r="I74" s="12" t="n">
        <f aca="false">IFERROR(G74*1000/E74*1000,0)</f>
        <v>7481.06060606061</v>
      </c>
      <c r="J74" s="13" t="str">
        <f aca="false">IF(F74&gt;=95,"S",IF(F74&gt;=85,"A",IF(F74&gt;=70,"B",IF(F74&gt;=50,"C","D"))))</f>
        <v>B</v>
      </c>
      <c r="K74" s="14" t="s">
        <v>17</v>
      </c>
      <c r="L74" s="16" t="s">
        <v>21</v>
      </c>
    </row>
    <row r="75" customFormat="false" ht="15" hidden="false" customHeight="false" outlineLevel="0" collapsed="false">
      <c r="A75" s="4" t="s">
        <v>85</v>
      </c>
      <c r="B75" s="5" t="s">
        <v>29</v>
      </c>
      <c r="C75" s="6" t="s">
        <v>16</v>
      </c>
      <c r="D75" s="7" t="n">
        <v>480</v>
      </c>
      <c r="E75" s="8" t="n">
        <v>272000</v>
      </c>
      <c r="F75" s="9" t="n">
        <v>77.9</v>
      </c>
      <c r="G75" s="10" t="n">
        <v>2035</v>
      </c>
      <c r="H75" s="11" t="n">
        <v>103904</v>
      </c>
      <c r="I75" s="12" t="n">
        <f aca="false">IFERROR(G75*1000/E75*1000,0)</f>
        <v>7481.61764705882</v>
      </c>
      <c r="J75" s="13" t="str">
        <f aca="false">IF(F75&gt;=95,"S",IF(F75&gt;=85,"A",IF(F75&gt;=70,"B",IF(F75&gt;=50,"C","D"))))</f>
        <v>B</v>
      </c>
      <c r="K75" s="14" t="s">
        <v>32</v>
      </c>
      <c r="L75" s="16" t="s">
        <v>21</v>
      </c>
    </row>
    <row r="76" customFormat="false" ht="15" hidden="false" customHeight="false" outlineLevel="0" collapsed="false">
      <c r="A76" s="4" t="s">
        <v>85</v>
      </c>
      <c r="B76" s="5" t="s">
        <v>31</v>
      </c>
      <c r="C76" s="6" t="s">
        <v>16</v>
      </c>
      <c r="D76" s="7" t="n">
        <v>495</v>
      </c>
      <c r="E76" s="8" t="n">
        <v>282000</v>
      </c>
      <c r="F76" s="9" t="n">
        <v>78.1</v>
      </c>
      <c r="G76" s="10" t="n">
        <v>2109</v>
      </c>
      <c r="H76" s="11" t="n">
        <v>107724</v>
      </c>
      <c r="I76" s="12" t="n">
        <f aca="false">IFERROR(G76*1000/E76*1000,0)</f>
        <v>7478.72340425532</v>
      </c>
      <c r="J76" s="13" t="str">
        <f aca="false">IF(F76&gt;=95,"S",IF(F76&gt;=85,"A",IF(F76&gt;=70,"B",IF(F76&gt;=50,"C","D"))))</f>
        <v>B</v>
      </c>
      <c r="K76" s="14" t="s">
        <v>32</v>
      </c>
      <c r="L76" s="16" t="s">
        <v>21</v>
      </c>
    </row>
    <row r="77" customFormat="false" ht="15" hidden="false" customHeight="false" outlineLevel="0" collapsed="false">
      <c r="A77" s="4" t="s">
        <v>85</v>
      </c>
      <c r="B77" s="5" t="s">
        <v>34</v>
      </c>
      <c r="C77" s="6" t="s">
        <v>16</v>
      </c>
      <c r="D77" s="7" t="n">
        <v>500</v>
      </c>
      <c r="E77" s="8" t="n">
        <v>276000</v>
      </c>
      <c r="F77" s="9" t="n">
        <v>75.9</v>
      </c>
      <c r="G77" s="10" t="n">
        <v>2064</v>
      </c>
      <c r="H77" s="11" t="n">
        <v>105432</v>
      </c>
      <c r="I77" s="12" t="n">
        <f aca="false">IFERROR(G77*1000/E77*1000,0)</f>
        <v>7478.26086956522</v>
      </c>
      <c r="J77" s="13" t="str">
        <f aca="false">IF(F77&gt;=95,"S",IF(F77&gt;=85,"A",IF(F77&gt;=70,"B",IF(F77&gt;=50,"C","D"))))</f>
        <v>B</v>
      </c>
      <c r="K77" s="14" t="s">
        <v>17</v>
      </c>
      <c r="L77" s="16" t="s">
        <v>21</v>
      </c>
    </row>
    <row r="78" customFormat="false" ht="15" hidden="false" customHeight="false" outlineLevel="0" collapsed="false">
      <c r="A78" s="4" t="s">
        <v>85</v>
      </c>
      <c r="B78" s="5" t="s">
        <v>37</v>
      </c>
      <c r="C78" s="6" t="s">
        <v>16</v>
      </c>
      <c r="D78" s="7" t="n">
        <v>520</v>
      </c>
      <c r="E78" s="8" t="n">
        <v>303000</v>
      </c>
      <c r="F78" s="9" t="n">
        <v>80</v>
      </c>
      <c r="G78" s="10" t="n">
        <v>2266</v>
      </c>
      <c r="H78" s="11" t="n">
        <v>115746</v>
      </c>
      <c r="I78" s="12" t="n">
        <f aca="false">IFERROR(G78*1000/E78*1000,0)</f>
        <v>7478.54785478548</v>
      </c>
      <c r="J78" s="13" t="str">
        <f aca="false">IF(F78&gt;=95,"S",IF(F78&gt;=85,"A",IF(F78&gt;=70,"B",IF(F78&gt;=50,"C","D"))))</f>
        <v>B</v>
      </c>
      <c r="K78" s="14" t="s">
        <v>17</v>
      </c>
      <c r="L78" s="16" t="s">
        <v>21</v>
      </c>
    </row>
    <row r="79" customFormat="false" ht="15" hidden="false" customHeight="false" outlineLevel="0" collapsed="false">
      <c r="A79" s="4" t="s">
        <v>85</v>
      </c>
      <c r="B79" s="5" t="s">
        <v>39</v>
      </c>
      <c r="C79" s="6" t="s">
        <v>16</v>
      </c>
      <c r="D79" s="7" t="n">
        <v>520</v>
      </c>
      <c r="E79" s="8" t="n">
        <v>288000</v>
      </c>
      <c r="F79" s="9" t="n">
        <v>76.1</v>
      </c>
      <c r="G79" s="10" t="n">
        <v>2154</v>
      </c>
      <c r="H79" s="11" t="n">
        <v>110016</v>
      </c>
      <c r="I79" s="12" t="n">
        <f aca="false">IFERROR(G79*1000/E79*1000,0)</f>
        <v>7479.16666666667</v>
      </c>
      <c r="J79" s="13" t="str">
        <f aca="false">IF(F79&gt;=95,"S",IF(F79&gt;=85,"A",IF(F79&gt;=70,"B",IF(F79&gt;=50,"C","D"))))</f>
        <v>B</v>
      </c>
      <c r="K79" s="14" t="s">
        <v>33</v>
      </c>
      <c r="L79" s="20" t="s">
        <v>36</v>
      </c>
    </row>
    <row r="80" customFormat="false" ht="15" hidden="false" customHeight="false" outlineLevel="0" collapsed="false">
      <c r="A80" s="4" t="s">
        <v>85</v>
      </c>
      <c r="B80" s="5" t="s">
        <v>40</v>
      </c>
      <c r="C80" s="6" t="s">
        <v>16</v>
      </c>
      <c r="D80" s="7" t="n">
        <v>530</v>
      </c>
      <c r="E80" s="8" t="n">
        <v>297000</v>
      </c>
      <c r="F80" s="9" t="n">
        <v>76.8</v>
      </c>
      <c r="G80" s="10" t="n">
        <v>2222</v>
      </c>
      <c r="H80" s="11" t="n">
        <v>113454</v>
      </c>
      <c r="I80" s="12" t="n">
        <f aca="false">IFERROR(G80*1000/E80*1000,0)</f>
        <v>7481.48148148148</v>
      </c>
      <c r="J80" s="13" t="str">
        <f aca="false">IF(F80&gt;=95,"S",IF(F80&gt;=85,"A",IF(F80&gt;=70,"B",IF(F80&gt;=50,"C","D"))))</f>
        <v>B</v>
      </c>
      <c r="K80" s="14" t="s">
        <v>17</v>
      </c>
      <c r="L80" s="20" t="s">
        <v>36</v>
      </c>
    </row>
    <row r="81" customFormat="false" ht="15" hidden="false" customHeight="false" outlineLevel="0" collapsed="false">
      <c r="A81" s="4" t="s">
        <v>85</v>
      </c>
      <c r="B81" s="5" t="s">
        <v>41</v>
      </c>
      <c r="C81" s="6" t="s">
        <v>16</v>
      </c>
      <c r="D81" s="7" t="n">
        <v>510</v>
      </c>
      <c r="E81" s="8" t="n">
        <v>299000</v>
      </c>
      <c r="F81" s="9" t="n">
        <v>80.5</v>
      </c>
      <c r="G81" s="10" t="n">
        <v>2237</v>
      </c>
      <c r="H81" s="11" t="n">
        <v>114218</v>
      </c>
      <c r="I81" s="12" t="n">
        <f aca="false">IFERROR(G81*1000/E81*1000,0)</f>
        <v>7481.60535117057</v>
      </c>
      <c r="J81" s="13" t="str">
        <f aca="false">IF(F81&gt;=95,"S",IF(F81&gt;=85,"A",IF(F81&gt;=70,"B",IF(F81&gt;=50,"C","D"))))</f>
        <v>B</v>
      </c>
      <c r="K81" s="14" t="s">
        <v>86</v>
      </c>
      <c r="L81" s="16" t="s">
        <v>21</v>
      </c>
    </row>
    <row r="82" customFormat="false" ht="15" hidden="false" customHeight="false" outlineLevel="0" collapsed="false">
      <c r="A82" s="4" t="s">
        <v>85</v>
      </c>
      <c r="B82" s="5" t="s">
        <v>42</v>
      </c>
      <c r="C82" s="6" t="s">
        <v>16</v>
      </c>
      <c r="D82" s="7" t="n">
        <v>510</v>
      </c>
      <c r="E82" s="8" t="n">
        <v>283000</v>
      </c>
      <c r="F82" s="9" t="n">
        <v>76.2</v>
      </c>
      <c r="G82" s="10" t="n">
        <v>2117</v>
      </c>
      <c r="H82" s="11" t="n">
        <v>108106</v>
      </c>
      <c r="I82" s="12" t="n">
        <f aca="false">IFERROR(G82*1000/E82*1000,0)</f>
        <v>7480.56537102474</v>
      </c>
      <c r="J82" s="13" t="str">
        <f aca="false">IF(F82&gt;=95,"S",IF(F82&gt;=85,"A",IF(F82&gt;=70,"B",IF(F82&gt;=50,"C","D"))))</f>
        <v>B</v>
      </c>
      <c r="K82" s="14" t="s">
        <v>33</v>
      </c>
      <c r="L82" s="16" t="s">
        <v>21</v>
      </c>
    </row>
    <row r="83" customFormat="false" ht="15" hidden="false" customHeight="false" outlineLevel="0" collapsed="false">
      <c r="A83" s="4" t="s">
        <v>85</v>
      </c>
      <c r="B83" s="5" t="s">
        <v>43</v>
      </c>
      <c r="C83" s="6" t="s">
        <v>16</v>
      </c>
      <c r="D83" s="7" t="n">
        <v>495</v>
      </c>
      <c r="E83" s="8" t="n">
        <v>281000</v>
      </c>
      <c r="F83" s="9" t="n">
        <v>78</v>
      </c>
      <c r="G83" s="10" t="n">
        <v>2102</v>
      </c>
      <c r="H83" s="11" t="n">
        <v>107342</v>
      </c>
      <c r="I83" s="12" t="n">
        <f aca="false">IFERROR(G83*1000/E83*1000,0)</f>
        <v>7480.42704626335</v>
      </c>
      <c r="J83" s="13" t="str">
        <f aca="false">IF(F83&gt;=95,"S",IF(F83&gt;=85,"A",IF(F83&gt;=70,"B",IF(F83&gt;=50,"C","D"))))</f>
        <v>B</v>
      </c>
      <c r="K83" s="14" t="s">
        <v>86</v>
      </c>
      <c r="L83" s="16" t="s">
        <v>21</v>
      </c>
    </row>
    <row r="84" customFormat="false" ht="15" hidden="false" customHeight="false" outlineLevel="0" collapsed="false">
      <c r="A84" s="4" t="s">
        <v>85</v>
      </c>
      <c r="B84" s="21" t="s">
        <v>45</v>
      </c>
      <c r="C84" s="22" t="s">
        <v>46</v>
      </c>
      <c r="D84" s="7" t="n">
        <v>200</v>
      </c>
      <c r="E84" s="8" t="n">
        <v>126000</v>
      </c>
      <c r="F84" s="9" t="n">
        <v>86.9</v>
      </c>
      <c r="G84" s="10" t="n">
        <v>935</v>
      </c>
      <c r="H84" s="11" t="n">
        <v>37926</v>
      </c>
      <c r="I84" s="12" t="n">
        <f aca="false">IFERROR(G84*1000/E84*1000,0)</f>
        <v>7420.63492063492</v>
      </c>
      <c r="J84" s="13" t="str">
        <f aca="false">IF(F84&gt;=95,"S",IF(F84&gt;=85,"A",IF(F84&gt;=70,"B",IF(F84&gt;=50,"C","D"))))</f>
        <v>A</v>
      </c>
      <c r="K84" s="14" t="s">
        <v>87</v>
      </c>
      <c r="L84" s="15" t="s">
        <v>18</v>
      </c>
    </row>
    <row r="85" customFormat="false" ht="15" hidden="false" customHeight="false" outlineLevel="0" collapsed="false">
      <c r="A85" s="4" t="s">
        <v>85</v>
      </c>
      <c r="B85" s="21" t="s">
        <v>48</v>
      </c>
      <c r="C85" s="22" t="s">
        <v>46</v>
      </c>
      <c r="D85" s="7" t="n">
        <v>220</v>
      </c>
      <c r="E85" s="8" t="n">
        <v>139000</v>
      </c>
      <c r="F85" s="9" t="n">
        <v>87</v>
      </c>
      <c r="G85" s="10" t="n">
        <v>1031</v>
      </c>
      <c r="H85" s="11" t="n">
        <v>41839</v>
      </c>
      <c r="I85" s="12" t="n">
        <f aca="false">IFERROR(G85*1000/E85*1000,0)</f>
        <v>7417.26618705036</v>
      </c>
      <c r="J85" s="13" t="str">
        <f aca="false">IF(F85&gt;=95,"S",IF(F85&gt;=85,"A",IF(F85&gt;=70,"B",IF(F85&gt;=50,"C","D"))))</f>
        <v>A</v>
      </c>
      <c r="K85" s="18"/>
      <c r="L85" s="15" t="s">
        <v>18</v>
      </c>
    </row>
    <row r="86" customFormat="false" ht="15" hidden="false" customHeight="false" outlineLevel="0" collapsed="false">
      <c r="A86" s="4" t="s">
        <v>85</v>
      </c>
      <c r="B86" s="5" t="s">
        <v>50</v>
      </c>
      <c r="C86" s="23" t="s">
        <v>51</v>
      </c>
      <c r="D86" s="7" t="n">
        <v>147</v>
      </c>
      <c r="E86" s="8" t="n">
        <v>47000</v>
      </c>
      <c r="F86" s="9" t="n">
        <v>43.8</v>
      </c>
      <c r="G86" s="10" t="n">
        <v>0</v>
      </c>
      <c r="H86" s="11" t="n">
        <v>0</v>
      </c>
      <c r="I86" s="12" t="n">
        <v>0</v>
      </c>
      <c r="J86" s="13" t="str">
        <f aca="false">IF(F86&gt;=95,"S",IF(F86&gt;=85,"A",IF(F86&gt;=70,"B",IF(F86&gt;=50,"C","D"))))</f>
        <v>D</v>
      </c>
      <c r="K86" s="14" t="s">
        <v>88</v>
      </c>
      <c r="L86" s="16" t="s">
        <v>21</v>
      </c>
    </row>
    <row r="87" customFormat="false" ht="15" hidden="false" customHeight="false" outlineLevel="0" collapsed="false">
      <c r="A87" s="4" t="s">
        <v>85</v>
      </c>
      <c r="B87" s="5" t="s">
        <v>53</v>
      </c>
      <c r="C87" s="23" t="s">
        <v>51</v>
      </c>
      <c r="D87" s="7" t="n">
        <v>320</v>
      </c>
      <c r="E87" s="8" t="n">
        <v>103000</v>
      </c>
      <c r="F87" s="9" t="n">
        <v>44.5</v>
      </c>
      <c r="G87" s="10" t="n">
        <v>0</v>
      </c>
      <c r="H87" s="11" t="n">
        <v>0</v>
      </c>
      <c r="I87" s="12" t="n">
        <v>0</v>
      </c>
      <c r="J87" s="13" t="str">
        <f aca="false">IF(F87&gt;=95,"S",IF(F87&gt;=85,"A",IF(F87&gt;=70,"B",IF(F87&gt;=50,"C","D"))))</f>
        <v>D</v>
      </c>
      <c r="K87" s="14" t="s">
        <v>65</v>
      </c>
      <c r="L87" s="16" t="s">
        <v>21</v>
      </c>
    </row>
    <row r="88" customFormat="false" ht="15" hidden="false" customHeight="false" outlineLevel="0" collapsed="false">
      <c r="A88" s="4" t="s">
        <v>85</v>
      </c>
      <c r="B88" s="5" t="s">
        <v>55</v>
      </c>
      <c r="C88" s="23" t="s">
        <v>51</v>
      </c>
      <c r="D88" s="7" t="n">
        <v>250</v>
      </c>
      <c r="E88" s="8" t="n">
        <v>83000</v>
      </c>
      <c r="F88" s="9" t="n">
        <v>45.7</v>
      </c>
      <c r="G88" s="10" t="n">
        <v>0</v>
      </c>
      <c r="H88" s="11" t="n">
        <v>0</v>
      </c>
      <c r="I88" s="12" t="n">
        <v>0</v>
      </c>
      <c r="J88" s="13" t="str">
        <f aca="false">IF(F88&gt;=95,"S",IF(F88&gt;=85,"A",IF(F88&gt;=70,"B",IF(F88&gt;=50,"C","D"))))</f>
        <v>D</v>
      </c>
      <c r="K88" s="14" t="s">
        <v>67</v>
      </c>
      <c r="L88" s="16" t="s">
        <v>21</v>
      </c>
    </row>
    <row r="89" customFormat="false" ht="15" hidden="false" customHeight="false" outlineLevel="0" collapsed="false">
      <c r="A89" s="4" t="s">
        <v>85</v>
      </c>
      <c r="B89" s="5" t="s">
        <v>57</v>
      </c>
      <c r="C89" s="23" t="s">
        <v>51</v>
      </c>
      <c r="D89" s="7" t="n">
        <v>180</v>
      </c>
      <c r="E89" s="8" t="n">
        <v>51000</v>
      </c>
      <c r="F89" s="9" t="n">
        <v>39.1</v>
      </c>
      <c r="G89" s="10" t="n">
        <v>0</v>
      </c>
      <c r="H89" s="11" t="n">
        <v>0</v>
      </c>
      <c r="I89" s="12" t="n">
        <v>0</v>
      </c>
      <c r="J89" s="13" t="str">
        <f aca="false">IF(F89&gt;=95,"S",IF(F89&gt;=85,"A",IF(F89&gt;=70,"B",IF(F89&gt;=50,"C","D"))))</f>
        <v>D</v>
      </c>
      <c r="K89" s="14" t="s">
        <v>60</v>
      </c>
      <c r="L89" s="16" t="s">
        <v>21</v>
      </c>
    </row>
    <row r="90" customFormat="false" ht="15" hidden="false" customHeight="false" outlineLevel="0" collapsed="false">
      <c r="A90" s="4" t="s">
        <v>85</v>
      </c>
      <c r="B90" s="5" t="s">
        <v>58</v>
      </c>
      <c r="C90" s="23" t="s">
        <v>51</v>
      </c>
      <c r="D90" s="7" t="n">
        <v>95</v>
      </c>
      <c r="E90" s="8" t="n">
        <v>26000</v>
      </c>
      <c r="F90" s="9" t="n">
        <v>38.5</v>
      </c>
      <c r="G90" s="10" t="n">
        <v>0</v>
      </c>
      <c r="H90" s="11" t="n">
        <v>0</v>
      </c>
      <c r="I90" s="12" t="n">
        <v>0</v>
      </c>
      <c r="J90" s="13" t="str">
        <f aca="false">IF(F90&gt;=95,"S",IF(F90&gt;=85,"A",IF(F90&gt;=70,"B",IF(F90&gt;=50,"C","D"))))</f>
        <v>D</v>
      </c>
      <c r="K90" s="14" t="s">
        <v>60</v>
      </c>
      <c r="L90" s="16" t="s">
        <v>21</v>
      </c>
    </row>
    <row r="91" customFormat="false" ht="15" hidden="false" customHeight="false" outlineLevel="0" collapsed="false">
      <c r="A91" s="4" t="s">
        <v>85</v>
      </c>
      <c r="B91" s="5" t="s">
        <v>59</v>
      </c>
      <c r="C91" s="23" t="s">
        <v>51</v>
      </c>
      <c r="D91" s="7" t="n">
        <v>32</v>
      </c>
      <c r="E91" s="8" t="n">
        <v>2000</v>
      </c>
      <c r="F91" s="9" t="n">
        <v>12.7</v>
      </c>
      <c r="G91" s="10" t="n">
        <v>0</v>
      </c>
      <c r="H91" s="11" t="n">
        <v>0</v>
      </c>
      <c r="I91" s="12" t="n">
        <v>0</v>
      </c>
      <c r="J91" s="13" t="str">
        <f aca="false">IF(F91&gt;=95,"S",IF(F91&gt;=85,"A",IF(F91&gt;=70,"B",IF(F91&gt;=50,"C","D"))))</f>
        <v>D</v>
      </c>
      <c r="K91" s="24" t="s">
        <v>54</v>
      </c>
      <c r="L91" s="15" t="s">
        <v>18</v>
      </c>
    </row>
    <row r="92" customFormat="false" ht="15" hidden="false" customHeight="false" outlineLevel="0" collapsed="false">
      <c r="A92" s="4" t="s">
        <v>85</v>
      </c>
      <c r="B92" s="5" t="s">
        <v>61</v>
      </c>
      <c r="C92" s="23" t="s">
        <v>51</v>
      </c>
      <c r="D92" s="7" t="n">
        <v>220</v>
      </c>
      <c r="E92" s="8" t="n">
        <v>18000</v>
      </c>
      <c r="F92" s="9" t="n">
        <v>11.4</v>
      </c>
      <c r="G92" s="10" t="n">
        <v>0</v>
      </c>
      <c r="H92" s="11" t="n">
        <v>0</v>
      </c>
      <c r="I92" s="12" t="n">
        <v>0</v>
      </c>
      <c r="J92" s="13" t="str">
        <f aca="false">IF(F92&gt;=95,"S",IF(F92&gt;=85,"A",IF(F92&gt;=70,"B",IF(F92&gt;=50,"C","D"))))</f>
        <v>D</v>
      </c>
      <c r="K92" s="24" t="s">
        <v>54</v>
      </c>
      <c r="L92" s="16" t="s">
        <v>21</v>
      </c>
    </row>
    <row r="93" customFormat="false" ht="15" hidden="false" customHeight="false" outlineLevel="0" collapsed="false">
      <c r="A93" s="4" t="s">
        <v>85</v>
      </c>
      <c r="B93" s="5" t="s">
        <v>62</v>
      </c>
      <c r="C93" s="23" t="s">
        <v>51</v>
      </c>
      <c r="D93" s="7" t="n">
        <v>85</v>
      </c>
      <c r="E93" s="8" t="n">
        <v>7000</v>
      </c>
      <c r="F93" s="9" t="n">
        <v>12.7</v>
      </c>
      <c r="G93" s="10" t="n">
        <v>0</v>
      </c>
      <c r="H93" s="11" t="n">
        <v>0</v>
      </c>
      <c r="I93" s="12" t="n">
        <v>0</v>
      </c>
      <c r="J93" s="13" t="str">
        <f aca="false">IF(F93&gt;=95,"S",IF(F93&gt;=85,"A",IF(F93&gt;=70,"B",IF(F93&gt;=50,"C","D"))))</f>
        <v>D</v>
      </c>
      <c r="K93" s="24" t="s">
        <v>54</v>
      </c>
      <c r="L93" s="16" t="s">
        <v>21</v>
      </c>
    </row>
    <row r="94" customFormat="false" ht="15" hidden="false" customHeight="false" outlineLevel="0" collapsed="false">
      <c r="A94" s="4" t="s">
        <v>85</v>
      </c>
      <c r="B94" s="5" t="s">
        <v>64</v>
      </c>
      <c r="C94" s="23" t="s">
        <v>51</v>
      </c>
      <c r="D94" s="7" t="n">
        <v>60</v>
      </c>
      <c r="E94" s="8" t="n">
        <v>5000</v>
      </c>
      <c r="F94" s="9" t="n">
        <v>12.7</v>
      </c>
      <c r="G94" s="10" t="n">
        <v>0</v>
      </c>
      <c r="H94" s="11" t="n">
        <v>0</v>
      </c>
      <c r="I94" s="12" t="n">
        <v>0</v>
      </c>
      <c r="J94" s="13" t="str">
        <f aca="false">IF(F94&gt;=95,"S",IF(F94&gt;=85,"A",IF(F94&gt;=70,"B",IF(F94&gt;=50,"C","D"))))</f>
        <v>D</v>
      </c>
      <c r="K94" s="24" t="s">
        <v>54</v>
      </c>
      <c r="L94" s="16" t="s">
        <v>21</v>
      </c>
    </row>
    <row r="95" customFormat="false" ht="15" hidden="false" customHeight="false" outlineLevel="0" collapsed="false">
      <c r="A95" s="4" t="s">
        <v>85</v>
      </c>
      <c r="B95" s="5" t="s">
        <v>66</v>
      </c>
      <c r="C95" s="23" t="s">
        <v>51</v>
      </c>
      <c r="D95" s="7" t="n">
        <v>75</v>
      </c>
      <c r="E95" s="8" t="n">
        <v>7000</v>
      </c>
      <c r="F95" s="9" t="n">
        <v>13.1</v>
      </c>
      <c r="G95" s="10" t="n">
        <v>0</v>
      </c>
      <c r="H95" s="11" t="n">
        <v>0</v>
      </c>
      <c r="I95" s="12" t="n">
        <v>0</v>
      </c>
      <c r="J95" s="13" t="str">
        <f aca="false">IF(F95&gt;=95,"S",IF(F95&gt;=85,"A",IF(F95&gt;=70,"B",IF(F95&gt;=50,"C","D"))))</f>
        <v>D</v>
      </c>
      <c r="K95" s="14" t="s">
        <v>60</v>
      </c>
      <c r="L95" s="16" t="s">
        <v>21</v>
      </c>
    </row>
    <row r="96" customFormat="false" ht="15" hidden="false" customHeight="false" outlineLevel="0" collapsed="false">
      <c r="A96" s="4" t="s">
        <v>85</v>
      </c>
      <c r="B96" s="5" t="s">
        <v>68</v>
      </c>
      <c r="C96" s="25" t="s">
        <v>69</v>
      </c>
      <c r="D96" s="7" t="n">
        <v>460</v>
      </c>
      <c r="E96" s="8" t="n">
        <v>243000</v>
      </c>
      <c r="F96" s="9" t="n">
        <v>72.7</v>
      </c>
      <c r="G96" s="10" t="n">
        <v>1665</v>
      </c>
      <c r="H96" s="11" t="n">
        <v>64395</v>
      </c>
      <c r="I96" s="12" t="n">
        <f aca="false">IFERROR(G96*1000/E96*1000,0)</f>
        <v>6851.85185185185</v>
      </c>
      <c r="J96" s="13" t="str">
        <f aca="false">IF(F96&gt;=95,"S",IF(F96&gt;=85,"A",IF(F96&gt;=70,"B",IF(F96&gt;=50,"C","D"))))</f>
        <v>B</v>
      </c>
      <c r="K96" s="14" t="s">
        <v>83</v>
      </c>
      <c r="L96" s="20" t="s">
        <v>36</v>
      </c>
    </row>
    <row r="97" customFormat="false" ht="15" hidden="false" customHeight="false" outlineLevel="0" collapsed="false">
      <c r="A97" s="4" t="s">
        <v>85</v>
      </c>
      <c r="B97" s="5" t="s">
        <v>71</v>
      </c>
      <c r="C97" s="25" t="s">
        <v>69</v>
      </c>
      <c r="D97" s="7" t="n">
        <v>460</v>
      </c>
      <c r="E97" s="8" t="n">
        <v>232000</v>
      </c>
      <c r="F97" s="9" t="n">
        <v>69.2</v>
      </c>
      <c r="G97" s="10" t="n">
        <v>1589</v>
      </c>
      <c r="H97" s="11" t="n">
        <v>61480</v>
      </c>
      <c r="I97" s="12" t="n">
        <f aca="false">IFERROR(G97*1000/E97*1000,0)</f>
        <v>6849.13793103448</v>
      </c>
      <c r="J97" s="13" t="str">
        <f aca="false">IF(F97&gt;=95,"S",IF(F97&gt;=85,"A",IF(F97&gt;=70,"B",IF(F97&gt;=50,"C","D"))))</f>
        <v>C</v>
      </c>
      <c r="K97" s="14" t="s">
        <v>83</v>
      </c>
      <c r="L97" s="16" t="s">
        <v>21</v>
      </c>
    </row>
    <row r="98" customFormat="false" ht="15" hidden="false" customHeight="false" outlineLevel="0" collapsed="false">
      <c r="A98" s="4" t="s">
        <v>85</v>
      </c>
      <c r="B98" s="5" t="s">
        <v>73</v>
      </c>
      <c r="C98" s="26" t="s">
        <v>74</v>
      </c>
      <c r="D98" s="7" t="n">
        <v>80</v>
      </c>
      <c r="E98" s="8" t="n">
        <v>25000</v>
      </c>
      <c r="F98" s="9" t="n">
        <v>43.3</v>
      </c>
      <c r="G98" s="10" t="n">
        <v>0</v>
      </c>
      <c r="H98" s="11" t="n">
        <v>0</v>
      </c>
      <c r="I98" s="12" t="n">
        <v>0</v>
      </c>
      <c r="J98" s="13" t="str">
        <f aca="false">IF(F98&gt;=95,"S",IF(F98&gt;=85,"A",IF(F98&gt;=70,"B",IF(F98&gt;=50,"C","D"))))</f>
        <v>D</v>
      </c>
      <c r="K98" s="14" t="s">
        <v>89</v>
      </c>
      <c r="L98" s="16" t="s">
        <v>21</v>
      </c>
    </row>
    <row r="99" customFormat="false" ht="15" hidden="false" customHeight="false" outlineLevel="0" collapsed="false">
      <c r="A99" s="4" t="s">
        <v>85</v>
      </c>
      <c r="B99" s="5" t="s">
        <v>76</v>
      </c>
      <c r="C99" s="26" t="s">
        <v>74</v>
      </c>
      <c r="D99" s="7" t="n">
        <v>80</v>
      </c>
      <c r="E99" s="8" t="n">
        <v>23000</v>
      </c>
      <c r="F99" s="9" t="n">
        <v>41</v>
      </c>
      <c r="G99" s="10" t="n">
        <v>0</v>
      </c>
      <c r="H99" s="11" t="n">
        <v>0</v>
      </c>
      <c r="I99" s="12" t="n">
        <v>0</v>
      </c>
      <c r="J99" s="13" t="str">
        <f aca="false">IF(F99&gt;=95,"S",IF(F99&gt;=85,"A",IF(F99&gt;=70,"B",IF(F99&gt;=50,"C","D"))))</f>
        <v>D</v>
      </c>
      <c r="K99" s="24" t="s">
        <v>79</v>
      </c>
      <c r="L99" s="17" t="s">
        <v>27</v>
      </c>
    </row>
    <row r="100" customFormat="false" ht="15" hidden="false" customHeight="false" outlineLevel="0" collapsed="false">
      <c r="A100" s="4" t="s">
        <v>85</v>
      </c>
      <c r="B100" s="5" t="s">
        <v>78</v>
      </c>
      <c r="C100" s="26" t="s">
        <v>74</v>
      </c>
      <c r="D100" s="7" t="n">
        <v>100</v>
      </c>
      <c r="E100" s="8" t="n">
        <v>32000</v>
      </c>
      <c r="F100" s="9" t="n">
        <v>44.5</v>
      </c>
      <c r="G100" s="10" t="n">
        <v>0</v>
      </c>
      <c r="H100" s="11" t="n">
        <v>0</v>
      </c>
      <c r="I100" s="12" t="n">
        <v>0</v>
      </c>
      <c r="J100" s="13" t="str">
        <f aca="false">IF(F100&gt;=95,"S",IF(F100&gt;=85,"A",IF(F100&gt;=70,"B",IF(F100&gt;=50,"C","D"))))</f>
        <v>D</v>
      </c>
      <c r="K100" s="24" t="s">
        <v>79</v>
      </c>
      <c r="L100" s="16" t="s">
        <v>21</v>
      </c>
    </row>
    <row r="101" customFormat="false" ht="15" hidden="false" customHeight="false" outlineLevel="0" collapsed="false">
      <c r="A101" s="4" t="s">
        <v>90</v>
      </c>
      <c r="B101" s="27" t="s">
        <v>15</v>
      </c>
      <c r="C101" s="6" t="s">
        <v>16</v>
      </c>
      <c r="D101" s="28" t="n">
        <v>500</v>
      </c>
      <c r="E101" s="29" t="n">
        <v>235000</v>
      </c>
      <c r="F101" s="30" t="n">
        <v>64.5</v>
      </c>
      <c r="G101" s="31" t="n">
        <v>1758</v>
      </c>
      <c r="H101" s="32" t="n">
        <v>89770</v>
      </c>
      <c r="I101" s="33" t="n">
        <f aca="false">IFERROR(G101*1000/E101*1000,0)</f>
        <v>7480.85106382979</v>
      </c>
      <c r="J101" s="13" t="str">
        <f aca="false">IF(F101&gt;=95,"S",IF(F101&gt;=85,"A",IF(F101&gt;=70,"B",IF(F101&gt;=50,"C","D"))))</f>
        <v>C</v>
      </c>
      <c r="K101" s="14" t="s">
        <v>30</v>
      </c>
      <c r="L101" s="16" t="s">
        <v>21</v>
      </c>
    </row>
    <row r="102" customFormat="false" ht="15" hidden="false" customHeight="false" outlineLevel="0" collapsed="false">
      <c r="A102" s="4" t="s">
        <v>90</v>
      </c>
      <c r="B102" s="27" t="s">
        <v>19</v>
      </c>
      <c r="C102" s="6" t="s">
        <v>16</v>
      </c>
      <c r="D102" s="28" t="n">
        <v>500</v>
      </c>
      <c r="E102" s="29" t="n">
        <v>232000</v>
      </c>
      <c r="F102" s="30" t="n">
        <v>63.7</v>
      </c>
      <c r="G102" s="31" t="n">
        <v>1735</v>
      </c>
      <c r="H102" s="32" t="n">
        <v>88624</v>
      </c>
      <c r="I102" s="33" t="n">
        <f aca="false">IFERROR(G102*1000/E102*1000,0)</f>
        <v>7478.44827586207</v>
      </c>
      <c r="J102" s="13" t="str">
        <f aca="false">IF(F102&gt;=95,"S",IF(F102&gt;=85,"A",IF(F102&gt;=70,"B",IF(F102&gt;=50,"C","D"))))</f>
        <v>C</v>
      </c>
      <c r="K102" s="14" t="s">
        <v>30</v>
      </c>
      <c r="L102" s="20" t="s">
        <v>36</v>
      </c>
    </row>
    <row r="103" customFormat="false" ht="15" hidden="false" customHeight="false" outlineLevel="0" collapsed="false">
      <c r="A103" s="4" t="s">
        <v>90</v>
      </c>
      <c r="B103" s="27" t="s">
        <v>22</v>
      </c>
      <c r="C103" s="6" t="s">
        <v>16</v>
      </c>
      <c r="D103" s="28" t="n">
        <v>512</v>
      </c>
      <c r="E103" s="29" t="n">
        <v>257000</v>
      </c>
      <c r="F103" s="30" t="n">
        <v>68.8</v>
      </c>
      <c r="G103" s="31" t="n">
        <v>1922</v>
      </c>
      <c r="H103" s="32" t="n">
        <v>98174</v>
      </c>
      <c r="I103" s="33" t="n">
        <f aca="false">IFERROR(G103*1000/E103*1000,0)</f>
        <v>7478.59922178988</v>
      </c>
      <c r="J103" s="13" t="str">
        <f aca="false">IF(F103&gt;=95,"S",IF(F103&gt;=85,"A",IF(F103&gt;=70,"B",IF(F103&gt;=50,"C","D"))))</f>
        <v>C</v>
      </c>
      <c r="K103" s="34"/>
      <c r="L103" s="16" t="s">
        <v>21</v>
      </c>
    </row>
    <row r="104" customFormat="false" ht="15" hidden="false" customHeight="false" outlineLevel="0" collapsed="false">
      <c r="A104" s="4" t="s">
        <v>90</v>
      </c>
      <c r="B104" s="27" t="s">
        <v>24</v>
      </c>
      <c r="C104" s="6" t="s">
        <v>16</v>
      </c>
      <c r="D104" s="28" t="n">
        <v>500</v>
      </c>
      <c r="E104" s="29" t="n">
        <v>236000</v>
      </c>
      <c r="F104" s="30" t="n">
        <v>64.9</v>
      </c>
      <c r="G104" s="31" t="n">
        <v>1765</v>
      </c>
      <c r="H104" s="32" t="n">
        <v>90152</v>
      </c>
      <c r="I104" s="33" t="n">
        <f aca="false">IFERROR(G104*1000/E104*1000,0)</f>
        <v>7478.81355932203</v>
      </c>
      <c r="J104" s="13" t="str">
        <f aca="false">IF(F104&gt;=95,"S",IF(F104&gt;=85,"A",IF(F104&gt;=70,"B",IF(F104&gt;=50,"C","D"))))</f>
        <v>C</v>
      </c>
      <c r="K104" s="14" t="s">
        <v>30</v>
      </c>
      <c r="L104" s="16" t="s">
        <v>21</v>
      </c>
    </row>
    <row r="105" customFormat="false" ht="15" hidden="false" customHeight="false" outlineLevel="0" collapsed="false">
      <c r="A105" s="4" t="s">
        <v>90</v>
      </c>
      <c r="B105" s="27" t="s">
        <v>25</v>
      </c>
      <c r="C105" s="6" t="s">
        <v>16</v>
      </c>
      <c r="D105" s="28" t="n">
        <v>500</v>
      </c>
      <c r="E105" s="29" t="n">
        <v>234000</v>
      </c>
      <c r="F105" s="30" t="n">
        <v>64.1</v>
      </c>
      <c r="G105" s="31" t="n">
        <v>1750</v>
      </c>
      <c r="H105" s="32" t="n">
        <v>89388</v>
      </c>
      <c r="I105" s="33" t="n">
        <f aca="false">IFERROR(G105*1000/E105*1000,0)</f>
        <v>7478.63247863248</v>
      </c>
      <c r="J105" s="13" t="str">
        <f aca="false">IF(F105&gt;=95,"S",IF(F105&gt;=85,"A",IF(F105&gt;=70,"B",IF(F105&gt;=50,"C","D"))))</f>
        <v>C</v>
      </c>
      <c r="K105" s="14" t="s">
        <v>17</v>
      </c>
      <c r="L105" s="17" t="s">
        <v>27</v>
      </c>
    </row>
    <row r="106" customFormat="false" ht="15" hidden="false" customHeight="false" outlineLevel="0" collapsed="false">
      <c r="A106" s="4" t="s">
        <v>90</v>
      </c>
      <c r="B106" s="27" t="s">
        <v>28</v>
      </c>
      <c r="C106" s="6" t="s">
        <v>16</v>
      </c>
      <c r="D106" s="28" t="n">
        <v>480</v>
      </c>
      <c r="E106" s="29" t="n">
        <v>241000</v>
      </c>
      <c r="F106" s="30" t="n">
        <v>68.9</v>
      </c>
      <c r="G106" s="31" t="n">
        <v>1803</v>
      </c>
      <c r="H106" s="32" t="n">
        <v>92062</v>
      </c>
      <c r="I106" s="33" t="n">
        <f aca="false">IFERROR(G106*1000/E106*1000,0)</f>
        <v>7481.32780082988</v>
      </c>
      <c r="J106" s="13" t="str">
        <f aca="false">IF(F106&gt;=95,"S",IF(F106&gt;=85,"A",IF(F106&gt;=70,"B",IF(F106&gt;=50,"C","D"))))</f>
        <v>C</v>
      </c>
      <c r="K106" s="14" t="s">
        <v>38</v>
      </c>
      <c r="L106" s="16" t="s">
        <v>21</v>
      </c>
    </row>
    <row r="107" customFormat="false" ht="15" hidden="false" customHeight="false" outlineLevel="0" collapsed="false">
      <c r="A107" s="4" t="s">
        <v>90</v>
      </c>
      <c r="B107" s="27" t="s">
        <v>29</v>
      </c>
      <c r="C107" s="6" t="s">
        <v>16</v>
      </c>
      <c r="D107" s="28" t="n">
        <v>480</v>
      </c>
      <c r="E107" s="29" t="n">
        <v>237000</v>
      </c>
      <c r="F107" s="30" t="n">
        <v>67.8</v>
      </c>
      <c r="G107" s="31" t="n">
        <v>1773</v>
      </c>
      <c r="H107" s="32" t="n">
        <v>90534</v>
      </c>
      <c r="I107" s="33" t="n">
        <f aca="false">IFERROR(G107*1000/E107*1000,0)</f>
        <v>7481.01265822785</v>
      </c>
      <c r="J107" s="13" t="str">
        <f aca="false">IF(F107&gt;=95,"S",IF(F107&gt;=85,"A",IF(F107&gt;=70,"B",IF(F107&gt;=50,"C","D"))))</f>
        <v>C</v>
      </c>
      <c r="K107" s="14" t="s">
        <v>23</v>
      </c>
      <c r="L107" s="17" t="s">
        <v>27</v>
      </c>
    </row>
    <row r="108" customFormat="false" ht="15" hidden="false" customHeight="false" outlineLevel="0" collapsed="false">
      <c r="A108" s="4" t="s">
        <v>90</v>
      </c>
      <c r="B108" s="27" t="s">
        <v>31</v>
      </c>
      <c r="C108" s="6" t="s">
        <v>16</v>
      </c>
      <c r="D108" s="28" t="n">
        <v>495</v>
      </c>
      <c r="E108" s="29" t="n">
        <v>230000</v>
      </c>
      <c r="F108" s="30" t="n">
        <v>63.8</v>
      </c>
      <c r="G108" s="31" t="n">
        <v>1720</v>
      </c>
      <c r="H108" s="32" t="n">
        <v>87860</v>
      </c>
      <c r="I108" s="33" t="n">
        <f aca="false">IFERROR(G108*1000/E108*1000,0)</f>
        <v>7478.26086956522</v>
      </c>
      <c r="J108" s="13" t="str">
        <f aca="false">IF(F108&gt;=95,"S",IF(F108&gt;=85,"A",IF(F108&gt;=70,"B",IF(F108&gt;=50,"C","D"))))</f>
        <v>C</v>
      </c>
      <c r="K108" s="14" t="s">
        <v>86</v>
      </c>
      <c r="L108" s="16" t="s">
        <v>21</v>
      </c>
    </row>
    <row r="109" customFormat="false" ht="15" hidden="false" customHeight="false" outlineLevel="0" collapsed="false">
      <c r="A109" s="4" t="s">
        <v>90</v>
      </c>
      <c r="B109" s="27" t="s">
        <v>34</v>
      </c>
      <c r="C109" s="6" t="s">
        <v>16</v>
      </c>
      <c r="D109" s="28" t="n">
        <v>500</v>
      </c>
      <c r="E109" s="29" t="n">
        <v>244000</v>
      </c>
      <c r="F109" s="30" t="n">
        <v>66.9</v>
      </c>
      <c r="G109" s="31" t="n">
        <v>1825</v>
      </c>
      <c r="H109" s="32" t="n">
        <v>93208</v>
      </c>
      <c r="I109" s="33" t="n">
        <f aca="false">IFERROR(G109*1000/E109*1000,0)</f>
        <v>7479.50819672131</v>
      </c>
      <c r="J109" s="13" t="str">
        <f aca="false">IF(F109&gt;=95,"S",IF(F109&gt;=85,"A",IF(F109&gt;=70,"B",IF(F109&gt;=50,"C","D"))))</f>
        <v>C</v>
      </c>
      <c r="K109" s="14" t="s">
        <v>23</v>
      </c>
      <c r="L109" s="19" t="s">
        <v>33</v>
      </c>
    </row>
    <row r="110" customFormat="false" ht="15" hidden="false" customHeight="false" outlineLevel="0" collapsed="false">
      <c r="A110" s="4" t="s">
        <v>90</v>
      </c>
      <c r="B110" s="27" t="s">
        <v>37</v>
      </c>
      <c r="C110" s="6" t="s">
        <v>16</v>
      </c>
      <c r="D110" s="28" t="n">
        <v>520</v>
      </c>
      <c r="E110" s="29" t="n">
        <v>250000</v>
      </c>
      <c r="F110" s="30" t="n">
        <v>65.9</v>
      </c>
      <c r="G110" s="31" t="n">
        <v>1870</v>
      </c>
      <c r="H110" s="32" t="n">
        <v>95500</v>
      </c>
      <c r="I110" s="33" t="n">
        <f aca="false">IFERROR(G110*1000/E110*1000,0)</f>
        <v>7480</v>
      </c>
      <c r="J110" s="13" t="str">
        <f aca="false">IF(F110&gt;=95,"S",IF(F110&gt;=85,"A",IF(F110&gt;=70,"B",IF(F110&gt;=50,"C","D"))))</f>
        <v>C</v>
      </c>
      <c r="K110" s="14" t="s">
        <v>32</v>
      </c>
      <c r="L110" s="16" t="s">
        <v>21</v>
      </c>
    </row>
    <row r="111" customFormat="false" ht="15" hidden="false" customHeight="false" outlineLevel="0" collapsed="false">
      <c r="A111" s="4" t="s">
        <v>90</v>
      </c>
      <c r="B111" s="27" t="s">
        <v>39</v>
      </c>
      <c r="C111" s="6" t="s">
        <v>16</v>
      </c>
      <c r="D111" s="28" t="n">
        <v>520</v>
      </c>
      <c r="E111" s="29" t="n">
        <v>255000</v>
      </c>
      <c r="F111" s="30" t="n">
        <v>67.3</v>
      </c>
      <c r="G111" s="31" t="n">
        <v>1907</v>
      </c>
      <c r="H111" s="32" t="n">
        <v>97410</v>
      </c>
      <c r="I111" s="33" t="n">
        <f aca="false">IFERROR(G111*1000/E111*1000,0)</f>
        <v>7478.43137254902</v>
      </c>
      <c r="J111" s="13" t="str">
        <f aca="false">IF(F111&gt;=95,"S",IF(F111&gt;=85,"A",IF(F111&gt;=70,"B",IF(F111&gt;=50,"C","D"))))</f>
        <v>C</v>
      </c>
      <c r="K111" s="14" t="s">
        <v>17</v>
      </c>
      <c r="L111" s="16" t="s">
        <v>21</v>
      </c>
    </row>
    <row r="112" customFormat="false" ht="15" hidden="false" customHeight="false" outlineLevel="0" collapsed="false">
      <c r="A112" s="4" t="s">
        <v>90</v>
      </c>
      <c r="B112" s="27" t="s">
        <v>40</v>
      </c>
      <c r="C112" s="6" t="s">
        <v>16</v>
      </c>
      <c r="D112" s="28" t="n">
        <v>530</v>
      </c>
      <c r="E112" s="29" t="n">
        <v>254000</v>
      </c>
      <c r="F112" s="30" t="n">
        <v>65.7</v>
      </c>
      <c r="G112" s="31" t="n">
        <v>1900</v>
      </c>
      <c r="H112" s="32" t="n">
        <v>97028</v>
      </c>
      <c r="I112" s="33" t="n">
        <f aca="false">IFERROR(G112*1000/E112*1000,0)</f>
        <v>7480.31496062992</v>
      </c>
      <c r="J112" s="13" t="str">
        <f aca="false">IF(F112&gt;=95,"S",IF(F112&gt;=85,"A",IF(F112&gt;=70,"B",IF(F112&gt;=50,"C","D"))))</f>
        <v>C</v>
      </c>
      <c r="K112" s="14" t="s">
        <v>38</v>
      </c>
      <c r="L112" s="16" t="s">
        <v>21</v>
      </c>
    </row>
    <row r="113" customFormat="false" ht="15" hidden="false" customHeight="false" outlineLevel="0" collapsed="false">
      <c r="A113" s="4" t="s">
        <v>90</v>
      </c>
      <c r="B113" s="27" t="s">
        <v>41</v>
      </c>
      <c r="C113" s="6" t="s">
        <v>16</v>
      </c>
      <c r="D113" s="28" t="n">
        <v>510</v>
      </c>
      <c r="E113" s="29" t="n">
        <v>251000</v>
      </c>
      <c r="F113" s="30" t="n">
        <v>67.5</v>
      </c>
      <c r="G113" s="31" t="n">
        <v>1877</v>
      </c>
      <c r="H113" s="32" t="n">
        <v>95882</v>
      </c>
      <c r="I113" s="33" t="n">
        <f aca="false">IFERROR(G113*1000/E113*1000,0)</f>
        <v>7478.08764940239</v>
      </c>
      <c r="J113" s="13" t="str">
        <f aca="false">IF(F113&gt;=95,"S",IF(F113&gt;=85,"A",IF(F113&gt;=70,"B",IF(F113&gt;=50,"C","D"))))</f>
        <v>C</v>
      </c>
      <c r="K113" s="14" t="s">
        <v>86</v>
      </c>
      <c r="L113" s="16" t="s">
        <v>21</v>
      </c>
    </row>
    <row r="114" customFormat="false" ht="15" hidden="false" customHeight="false" outlineLevel="0" collapsed="false">
      <c r="A114" s="4" t="s">
        <v>90</v>
      </c>
      <c r="B114" s="27" t="s">
        <v>42</v>
      </c>
      <c r="C114" s="6" t="s">
        <v>16</v>
      </c>
      <c r="D114" s="28" t="n">
        <v>510</v>
      </c>
      <c r="E114" s="29" t="n">
        <v>242000</v>
      </c>
      <c r="F114" s="30" t="n">
        <v>65.1</v>
      </c>
      <c r="G114" s="31" t="n">
        <v>1810</v>
      </c>
      <c r="H114" s="32" t="n">
        <v>92444</v>
      </c>
      <c r="I114" s="33" t="n">
        <f aca="false">IFERROR(G114*1000/E114*1000,0)</f>
        <v>7479.33884297521</v>
      </c>
      <c r="J114" s="13" t="str">
        <f aca="false">IF(F114&gt;=95,"S",IF(F114&gt;=85,"A",IF(F114&gt;=70,"B",IF(F114&gt;=50,"C","D"))))</f>
        <v>C</v>
      </c>
      <c r="K114" s="14" t="s">
        <v>38</v>
      </c>
      <c r="L114" s="16" t="s">
        <v>21</v>
      </c>
    </row>
    <row r="115" customFormat="false" ht="15" hidden="false" customHeight="false" outlineLevel="0" collapsed="false">
      <c r="A115" s="4" t="s">
        <v>90</v>
      </c>
      <c r="B115" s="27" t="s">
        <v>43</v>
      </c>
      <c r="C115" s="6" t="s">
        <v>16</v>
      </c>
      <c r="D115" s="28" t="n">
        <v>495</v>
      </c>
      <c r="E115" s="29" t="n">
        <v>243000</v>
      </c>
      <c r="F115" s="30" t="n">
        <v>67.5</v>
      </c>
      <c r="G115" s="31" t="n">
        <v>1818</v>
      </c>
      <c r="H115" s="32" t="n">
        <v>92826</v>
      </c>
      <c r="I115" s="33" t="n">
        <f aca="false">IFERROR(G115*1000/E115*1000,0)</f>
        <v>7481.48148148148</v>
      </c>
      <c r="J115" s="13" t="str">
        <f aca="false">IF(F115&gt;=95,"S",IF(F115&gt;=85,"A",IF(F115&gt;=70,"B",IF(F115&gt;=50,"C","D"))))</f>
        <v>C</v>
      </c>
      <c r="K115" s="14" t="s">
        <v>20</v>
      </c>
      <c r="L115" s="16" t="s">
        <v>21</v>
      </c>
    </row>
    <row r="116" customFormat="false" ht="15" hidden="false" customHeight="false" outlineLevel="0" collapsed="false">
      <c r="A116" s="4" t="s">
        <v>90</v>
      </c>
      <c r="B116" s="35" t="s">
        <v>45</v>
      </c>
      <c r="C116" s="22" t="s">
        <v>46</v>
      </c>
      <c r="D116" s="28" t="n">
        <v>200</v>
      </c>
      <c r="E116" s="29" t="n">
        <v>129000</v>
      </c>
      <c r="F116" s="30" t="n">
        <v>89</v>
      </c>
      <c r="G116" s="31" t="n">
        <v>957</v>
      </c>
      <c r="H116" s="32" t="n">
        <v>38829</v>
      </c>
      <c r="I116" s="33" t="n">
        <f aca="false">IFERROR(G116*1000/E116*1000,0)</f>
        <v>7418.60465116279</v>
      </c>
      <c r="J116" s="13" t="str">
        <f aca="false">IF(F116&gt;=95,"S",IF(F116&gt;=85,"A",IF(F116&gt;=70,"B",IF(F116&gt;=50,"C","D"))))</f>
        <v>A</v>
      </c>
      <c r="K116" s="14" t="s">
        <v>87</v>
      </c>
      <c r="L116" s="17" t="s">
        <v>27</v>
      </c>
    </row>
    <row r="117" customFormat="false" ht="15" hidden="false" customHeight="false" outlineLevel="0" collapsed="false">
      <c r="A117" s="4" t="s">
        <v>90</v>
      </c>
      <c r="B117" s="35" t="s">
        <v>48</v>
      </c>
      <c r="C117" s="22" t="s">
        <v>46</v>
      </c>
      <c r="D117" s="28" t="n">
        <v>220</v>
      </c>
      <c r="E117" s="29" t="n">
        <v>144000</v>
      </c>
      <c r="F117" s="30" t="n">
        <v>90</v>
      </c>
      <c r="G117" s="31" t="n">
        <v>1068</v>
      </c>
      <c r="H117" s="32" t="n">
        <v>43344</v>
      </c>
      <c r="I117" s="33" t="n">
        <f aca="false">IFERROR(G117*1000/E117*1000,0)</f>
        <v>7416.66666666667</v>
      </c>
      <c r="J117" s="13" t="str">
        <f aca="false">IF(F117&gt;=95,"S",IF(F117&gt;=85,"A",IF(F117&gt;=70,"B",IF(F117&gt;=50,"C","D"))))</f>
        <v>A</v>
      </c>
      <c r="K117" s="14" t="s">
        <v>49</v>
      </c>
      <c r="L117" s="16" t="s">
        <v>21</v>
      </c>
    </row>
    <row r="118" customFormat="false" ht="15" hidden="false" customHeight="false" outlineLevel="0" collapsed="false">
      <c r="A118" s="4" t="s">
        <v>90</v>
      </c>
      <c r="B118" s="27" t="s">
        <v>50</v>
      </c>
      <c r="C118" s="23" t="s">
        <v>51</v>
      </c>
      <c r="D118" s="28" t="n">
        <v>147</v>
      </c>
      <c r="E118" s="29" t="n">
        <v>40000</v>
      </c>
      <c r="F118" s="30" t="n">
        <v>38.2</v>
      </c>
      <c r="G118" s="31" t="n">
        <v>0</v>
      </c>
      <c r="H118" s="32" t="n">
        <v>0</v>
      </c>
      <c r="I118" s="33" t="n">
        <v>0</v>
      </c>
      <c r="J118" s="13" t="str">
        <f aca="false">IF(F118&gt;=95,"S",IF(F118&gt;=85,"A",IF(F118&gt;=70,"B",IF(F118&gt;=50,"C","D"))))</f>
        <v>D</v>
      </c>
      <c r="K118" s="34"/>
      <c r="L118" s="16" t="s">
        <v>21</v>
      </c>
    </row>
    <row r="119" customFormat="false" ht="15" hidden="false" customHeight="false" outlineLevel="0" collapsed="false">
      <c r="A119" s="4" t="s">
        <v>90</v>
      </c>
      <c r="B119" s="27" t="s">
        <v>53</v>
      </c>
      <c r="C119" s="23" t="s">
        <v>51</v>
      </c>
      <c r="D119" s="28" t="n">
        <v>320</v>
      </c>
      <c r="E119" s="29" t="n">
        <v>88000</v>
      </c>
      <c r="F119" s="30" t="n">
        <v>37.7</v>
      </c>
      <c r="G119" s="31" t="n">
        <v>0</v>
      </c>
      <c r="H119" s="32" t="n">
        <v>0</v>
      </c>
      <c r="I119" s="33" t="n">
        <v>0</v>
      </c>
      <c r="J119" s="13" t="str">
        <f aca="false">IF(F119&gt;=95,"S",IF(F119&gt;=85,"A",IF(F119&gt;=70,"B",IF(F119&gt;=50,"C","D"))))</f>
        <v>D</v>
      </c>
      <c r="K119" s="14" t="s">
        <v>52</v>
      </c>
      <c r="L119" s="16" t="s">
        <v>21</v>
      </c>
    </row>
    <row r="120" customFormat="false" ht="15" hidden="false" customHeight="false" outlineLevel="0" collapsed="false">
      <c r="A120" s="4" t="s">
        <v>90</v>
      </c>
      <c r="B120" s="27" t="s">
        <v>55</v>
      </c>
      <c r="C120" s="23" t="s">
        <v>51</v>
      </c>
      <c r="D120" s="28" t="n">
        <v>250</v>
      </c>
      <c r="E120" s="29" t="n">
        <v>66000</v>
      </c>
      <c r="F120" s="30" t="n">
        <v>36.2</v>
      </c>
      <c r="G120" s="31" t="n">
        <v>0</v>
      </c>
      <c r="H120" s="32" t="n">
        <v>0</v>
      </c>
      <c r="I120" s="33" t="n">
        <v>0</v>
      </c>
      <c r="J120" s="13" t="str">
        <f aca="false">IF(F120&gt;=95,"S",IF(F120&gt;=85,"A",IF(F120&gt;=70,"B",IF(F120&gt;=50,"C","D"))))</f>
        <v>D</v>
      </c>
      <c r="K120" s="24" t="s">
        <v>56</v>
      </c>
      <c r="L120" s="16" t="s">
        <v>21</v>
      </c>
    </row>
    <row r="121" customFormat="false" ht="15" hidden="false" customHeight="false" outlineLevel="0" collapsed="false">
      <c r="A121" s="4" t="s">
        <v>90</v>
      </c>
      <c r="B121" s="27" t="s">
        <v>57</v>
      </c>
      <c r="C121" s="23" t="s">
        <v>51</v>
      </c>
      <c r="D121" s="28" t="n">
        <v>180</v>
      </c>
      <c r="E121" s="29" t="n">
        <v>56000</v>
      </c>
      <c r="F121" s="30" t="n">
        <v>43.2</v>
      </c>
      <c r="G121" s="31" t="n">
        <v>0</v>
      </c>
      <c r="H121" s="32" t="n">
        <v>0</v>
      </c>
      <c r="I121" s="33" t="n">
        <v>0</v>
      </c>
      <c r="J121" s="13" t="str">
        <f aca="false">IF(F121&gt;=95,"S",IF(F121&gt;=85,"A",IF(F121&gt;=70,"B",IF(F121&gt;=50,"C","D"))))</f>
        <v>D</v>
      </c>
      <c r="K121" s="14" t="s">
        <v>88</v>
      </c>
      <c r="L121" s="16" t="s">
        <v>21</v>
      </c>
    </row>
    <row r="122" customFormat="false" ht="15" hidden="false" customHeight="false" outlineLevel="0" collapsed="false">
      <c r="A122" s="4" t="s">
        <v>90</v>
      </c>
      <c r="B122" s="27" t="s">
        <v>58</v>
      </c>
      <c r="C122" s="23" t="s">
        <v>51</v>
      </c>
      <c r="D122" s="28" t="n">
        <v>95</v>
      </c>
      <c r="E122" s="29" t="n">
        <v>28000</v>
      </c>
      <c r="F122" s="30" t="n">
        <v>41.1</v>
      </c>
      <c r="G122" s="31" t="n">
        <v>0</v>
      </c>
      <c r="H122" s="32" t="n">
        <v>0</v>
      </c>
      <c r="I122" s="33" t="n">
        <v>0</v>
      </c>
      <c r="J122" s="13" t="str">
        <f aca="false">IF(F122&gt;=95,"S",IF(F122&gt;=85,"A",IF(F122&gt;=70,"B",IF(F122&gt;=50,"C","D"))))</f>
        <v>D</v>
      </c>
      <c r="K122" s="14" t="s">
        <v>60</v>
      </c>
      <c r="L122" s="16" t="s">
        <v>21</v>
      </c>
    </row>
    <row r="123" customFormat="false" ht="15" hidden="false" customHeight="false" outlineLevel="0" collapsed="false">
      <c r="A123" s="4" t="s">
        <v>90</v>
      </c>
      <c r="B123" s="27" t="s">
        <v>59</v>
      </c>
      <c r="C123" s="23" t="s">
        <v>51</v>
      </c>
      <c r="D123" s="28" t="n">
        <v>32</v>
      </c>
      <c r="E123" s="29" t="n">
        <v>3000</v>
      </c>
      <c r="F123" s="30" t="n">
        <v>14.8</v>
      </c>
      <c r="G123" s="31" t="n">
        <v>0</v>
      </c>
      <c r="H123" s="32" t="n">
        <v>0</v>
      </c>
      <c r="I123" s="33" t="n">
        <v>0</v>
      </c>
      <c r="J123" s="13" t="str">
        <f aca="false">IF(F123&gt;=95,"S",IF(F123&gt;=85,"A",IF(F123&gt;=70,"B",IF(F123&gt;=50,"C","D"))))</f>
        <v>D</v>
      </c>
      <c r="K123" s="14" t="s">
        <v>63</v>
      </c>
      <c r="L123" s="16" t="s">
        <v>21</v>
      </c>
    </row>
    <row r="124" customFormat="false" ht="15" hidden="false" customHeight="false" outlineLevel="0" collapsed="false">
      <c r="A124" s="4" t="s">
        <v>90</v>
      </c>
      <c r="B124" s="27" t="s">
        <v>61</v>
      </c>
      <c r="C124" s="23" t="s">
        <v>51</v>
      </c>
      <c r="D124" s="28" t="n">
        <v>220</v>
      </c>
      <c r="E124" s="29" t="n">
        <v>26000</v>
      </c>
      <c r="F124" s="30" t="n">
        <v>16.5</v>
      </c>
      <c r="G124" s="31" t="n">
        <v>0</v>
      </c>
      <c r="H124" s="32" t="n">
        <v>0</v>
      </c>
      <c r="I124" s="33" t="n">
        <v>0</v>
      </c>
      <c r="J124" s="13" t="str">
        <f aca="false">IF(F124&gt;=95,"S",IF(F124&gt;=85,"A",IF(F124&gt;=70,"B",IF(F124&gt;=50,"C","D"))))</f>
        <v>D</v>
      </c>
      <c r="K124" s="14" t="s">
        <v>65</v>
      </c>
      <c r="L124" s="16" t="s">
        <v>21</v>
      </c>
    </row>
    <row r="125" customFormat="false" ht="15" hidden="false" customHeight="false" outlineLevel="0" collapsed="false">
      <c r="A125" s="4" t="s">
        <v>90</v>
      </c>
      <c r="B125" s="27" t="s">
        <v>62</v>
      </c>
      <c r="C125" s="23" t="s">
        <v>51</v>
      </c>
      <c r="D125" s="28" t="n">
        <v>85</v>
      </c>
      <c r="E125" s="29" t="n">
        <v>8000</v>
      </c>
      <c r="F125" s="30" t="n">
        <v>13.8</v>
      </c>
      <c r="G125" s="31" t="n">
        <v>0</v>
      </c>
      <c r="H125" s="32" t="n">
        <v>0</v>
      </c>
      <c r="I125" s="33" t="n">
        <v>0</v>
      </c>
      <c r="J125" s="13" t="str">
        <f aca="false">IF(F125&gt;=95,"S",IF(F125&gt;=85,"A",IF(F125&gt;=70,"B",IF(F125&gt;=50,"C","D"))))</f>
        <v>D</v>
      </c>
      <c r="K125" s="34"/>
      <c r="L125" s="15" t="s">
        <v>18</v>
      </c>
    </row>
    <row r="126" customFormat="false" ht="15" hidden="false" customHeight="false" outlineLevel="0" collapsed="false">
      <c r="A126" s="4" t="s">
        <v>90</v>
      </c>
      <c r="B126" s="27" t="s">
        <v>64</v>
      </c>
      <c r="C126" s="23" t="s">
        <v>51</v>
      </c>
      <c r="D126" s="28" t="n">
        <v>60</v>
      </c>
      <c r="E126" s="29" t="n">
        <v>7000</v>
      </c>
      <c r="F126" s="30" t="n">
        <v>16</v>
      </c>
      <c r="G126" s="31" t="n">
        <v>0</v>
      </c>
      <c r="H126" s="32" t="n">
        <v>0</v>
      </c>
      <c r="I126" s="33" t="n">
        <v>0</v>
      </c>
      <c r="J126" s="13" t="str">
        <f aca="false">IF(F126&gt;=95,"S",IF(F126&gt;=85,"A",IF(F126&gt;=70,"B",IF(F126&gt;=50,"C","D"))))</f>
        <v>D</v>
      </c>
      <c r="K126" s="14" t="s">
        <v>63</v>
      </c>
      <c r="L126" s="16" t="s">
        <v>21</v>
      </c>
    </row>
    <row r="127" customFormat="false" ht="15" hidden="false" customHeight="false" outlineLevel="0" collapsed="false">
      <c r="A127" s="4" t="s">
        <v>90</v>
      </c>
      <c r="B127" s="27" t="s">
        <v>66</v>
      </c>
      <c r="C127" s="23" t="s">
        <v>51</v>
      </c>
      <c r="D127" s="28" t="n">
        <v>75</v>
      </c>
      <c r="E127" s="29" t="n">
        <v>9000</v>
      </c>
      <c r="F127" s="30" t="n">
        <v>16.5</v>
      </c>
      <c r="G127" s="31" t="n">
        <v>0</v>
      </c>
      <c r="H127" s="32" t="n">
        <v>0</v>
      </c>
      <c r="I127" s="33" t="n">
        <v>0</v>
      </c>
      <c r="J127" s="13" t="str">
        <f aca="false">IF(F127&gt;=95,"S",IF(F127&gt;=85,"A",IF(F127&gt;=70,"B",IF(F127&gt;=50,"C","D"))))</f>
        <v>D</v>
      </c>
      <c r="K127" s="14" t="s">
        <v>65</v>
      </c>
      <c r="L127" s="16" t="s">
        <v>21</v>
      </c>
    </row>
    <row r="128" customFormat="false" ht="15" hidden="false" customHeight="false" outlineLevel="0" collapsed="false">
      <c r="A128" s="4" t="s">
        <v>90</v>
      </c>
      <c r="B128" s="27" t="s">
        <v>68</v>
      </c>
      <c r="C128" s="25" t="s">
        <v>69</v>
      </c>
      <c r="D128" s="28" t="n">
        <v>460</v>
      </c>
      <c r="E128" s="29" t="n">
        <v>194000</v>
      </c>
      <c r="F128" s="30" t="n">
        <v>57.9</v>
      </c>
      <c r="G128" s="31" t="n">
        <v>1329</v>
      </c>
      <c r="H128" s="32" t="n">
        <v>51410</v>
      </c>
      <c r="I128" s="33" t="n">
        <f aca="false">IFERROR(G128*1000/E128*1000,0)</f>
        <v>6850.51546391753</v>
      </c>
      <c r="J128" s="13" t="str">
        <f aca="false">IF(F128&gt;=95,"S",IF(F128&gt;=85,"A",IF(F128&gt;=70,"B",IF(F128&gt;=50,"C","D"))))</f>
        <v>C</v>
      </c>
      <c r="K128" s="14" t="s">
        <v>70</v>
      </c>
      <c r="L128" s="19" t="s">
        <v>33</v>
      </c>
    </row>
    <row r="129" customFormat="false" ht="15" hidden="false" customHeight="false" outlineLevel="0" collapsed="false">
      <c r="A129" s="4" t="s">
        <v>90</v>
      </c>
      <c r="B129" s="27" t="s">
        <v>71</v>
      </c>
      <c r="C129" s="25" t="s">
        <v>69</v>
      </c>
      <c r="D129" s="28" t="n">
        <v>460</v>
      </c>
      <c r="E129" s="29" t="n">
        <v>200000</v>
      </c>
      <c r="F129" s="30" t="n">
        <v>59.8</v>
      </c>
      <c r="G129" s="31" t="n">
        <v>1370</v>
      </c>
      <c r="H129" s="32" t="n">
        <v>53000</v>
      </c>
      <c r="I129" s="33" t="n">
        <f aca="false">IFERROR(G129*1000/E129*1000,0)</f>
        <v>6850</v>
      </c>
      <c r="J129" s="13" t="str">
        <f aca="false">IF(F129&gt;=95,"S",IF(F129&gt;=85,"A",IF(F129&gt;=70,"B",IF(F129&gt;=50,"C","D"))))</f>
        <v>C</v>
      </c>
      <c r="K129" s="14" t="s">
        <v>72</v>
      </c>
      <c r="L129" s="16" t="s">
        <v>21</v>
      </c>
    </row>
    <row r="130" customFormat="false" ht="15" hidden="false" customHeight="false" outlineLevel="0" collapsed="false">
      <c r="A130" s="4" t="s">
        <v>90</v>
      </c>
      <c r="B130" s="27" t="s">
        <v>73</v>
      </c>
      <c r="C130" s="26" t="s">
        <v>74</v>
      </c>
      <c r="D130" s="28" t="n">
        <v>80</v>
      </c>
      <c r="E130" s="29" t="n">
        <v>26000</v>
      </c>
      <c r="F130" s="30" t="n">
        <v>45.6</v>
      </c>
      <c r="G130" s="31" t="n">
        <v>0</v>
      </c>
      <c r="H130" s="32" t="n">
        <v>0</v>
      </c>
      <c r="I130" s="33" t="n">
        <v>0</v>
      </c>
      <c r="J130" s="13" t="str">
        <f aca="false">IF(F130&gt;=95,"S",IF(F130&gt;=85,"A",IF(F130&gt;=70,"B",IF(F130&gt;=50,"C","D"))))</f>
        <v>D</v>
      </c>
      <c r="K130" s="14" t="s">
        <v>75</v>
      </c>
      <c r="L130" s="16" t="s">
        <v>21</v>
      </c>
    </row>
    <row r="131" customFormat="false" ht="15" hidden="false" customHeight="false" outlineLevel="0" collapsed="false">
      <c r="A131" s="4" t="s">
        <v>90</v>
      </c>
      <c r="B131" s="27" t="s">
        <v>76</v>
      </c>
      <c r="C131" s="26" t="s">
        <v>74</v>
      </c>
      <c r="D131" s="28" t="n">
        <v>80</v>
      </c>
      <c r="E131" s="29" t="n">
        <v>25000</v>
      </c>
      <c r="F131" s="30" t="n">
        <v>44.5</v>
      </c>
      <c r="G131" s="31" t="n">
        <v>0</v>
      </c>
      <c r="H131" s="32" t="n">
        <v>0</v>
      </c>
      <c r="I131" s="33" t="n">
        <v>0</v>
      </c>
      <c r="J131" s="13" t="str">
        <f aca="false">IF(F131&gt;=95,"S",IF(F131&gt;=85,"A",IF(F131&gt;=70,"B",IF(F131&gt;=50,"C","D"))))</f>
        <v>D</v>
      </c>
      <c r="K131" s="14" t="s">
        <v>75</v>
      </c>
      <c r="L131" s="16" t="s">
        <v>21</v>
      </c>
    </row>
    <row r="132" customFormat="false" ht="15" hidden="false" customHeight="false" outlineLevel="0" collapsed="false">
      <c r="A132" s="4" t="s">
        <v>90</v>
      </c>
      <c r="B132" s="27" t="s">
        <v>78</v>
      </c>
      <c r="C132" s="26" t="s">
        <v>74</v>
      </c>
      <c r="D132" s="28" t="n">
        <v>100</v>
      </c>
      <c r="E132" s="29" t="n">
        <v>31000</v>
      </c>
      <c r="F132" s="30" t="n">
        <v>42.5</v>
      </c>
      <c r="G132" s="31" t="n">
        <v>0</v>
      </c>
      <c r="H132" s="32" t="n">
        <v>0</v>
      </c>
      <c r="I132" s="33" t="n">
        <v>0</v>
      </c>
      <c r="J132" s="13" t="str">
        <f aca="false">IF(F132&gt;=95,"S",IF(F132&gt;=85,"A",IF(F132&gt;=70,"B",IF(F132&gt;=50,"C","D"))))</f>
        <v>D</v>
      </c>
      <c r="K132" s="14" t="s">
        <v>75</v>
      </c>
      <c r="L132" s="16" t="s">
        <v>21</v>
      </c>
    </row>
    <row r="133" customFormat="false" ht="15" hidden="false" customHeight="false" outlineLevel="0" collapsed="false">
      <c r="A133" s="4" t="s">
        <v>91</v>
      </c>
      <c r="B133" s="5" t="s">
        <v>15</v>
      </c>
      <c r="C133" s="6" t="s">
        <v>16</v>
      </c>
      <c r="D133" s="7" t="n">
        <v>500</v>
      </c>
      <c r="E133" s="8" t="n">
        <v>220000</v>
      </c>
      <c r="F133" s="9" t="n">
        <v>60.4</v>
      </c>
      <c r="G133" s="10" t="n">
        <v>1646</v>
      </c>
      <c r="H133" s="11" t="n">
        <v>84040</v>
      </c>
      <c r="I133" s="12" t="n">
        <f aca="false">IFERROR(G133*1000/E133*1000,0)</f>
        <v>7481.81818181818</v>
      </c>
      <c r="J133" s="13" t="str">
        <f aca="false">IF(F133&gt;=95,"S",IF(F133&gt;=85,"A",IF(F133&gt;=70,"B",IF(F133&gt;=50,"C","D"))))</f>
        <v>C</v>
      </c>
      <c r="K133" s="14" t="s">
        <v>17</v>
      </c>
      <c r="L133" s="16" t="s">
        <v>21</v>
      </c>
    </row>
    <row r="134" customFormat="false" ht="15" hidden="false" customHeight="false" outlineLevel="0" collapsed="false">
      <c r="A134" s="4" t="s">
        <v>91</v>
      </c>
      <c r="B134" s="5" t="s">
        <v>19</v>
      </c>
      <c r="C134" s="6" t="s">
        <v>16</v>
      </c>
      <c r="D134" s="7" t="n">
        <v>500</v>
      </c>
      <c r="E134" s="8" t="n">
        <v>215000</v>
      </c>
      <c r="F134" s="9" t="n">
        <v>59</v>
      </c>
      <c r="G134" s="10" t="n">
        <v>1608</v>
      </c>
      <c r="H134" s="11" t="n">
        <v>82130</v>
      </c>
      <c r="I134" s="12" t="n">
        <f aca="false">IFERROR(G134*1000/E134*1000,0)</f>
        <v>7479.06976744186</v>
      </c>
      <c r="J134" s="13" t="str">
        <f aca="false">IF(F134&gt;=95,"S",IF(F134&gt;=85,"A",IF(F134&gt;=70,"B",IF(F134&gt;=50,"C","D"))))</f>
        <v>C</v>
      </c>
      <c r="K134" s="18"/>
      <c r="L134" s="16" t="s">
        <v>21</v>
      </c>
    </row>
    <row r="135" customFormat="false" ht="15" hidden="false" customHeight="false" outlineLevel="0" collapsed="false">
      <c r="A135" s="4" t="s">
        <v>91</v>
      </c>
      <c r="B135" s="5" t="s">
        <v>22</v>
      </c>
      <c r="C135" s="6" t="s">
        <v>16</v>
      </c>
      <c r="D135" s="7" t="n">
        <v>512</v>
      </c>
      <c r="E135" s="8" t="n">
        <v>228000</v>
      </c>
      <c r="F135" s="9" t="n">
        <v>61.1</v>
      </c>
      <c r="G135" s="10" t="n">
        <v>1705</v>
      </c>
      <c r="H135" s="11" t="n">
        <v>87096</v>
      </c>
      <c r="I135" s="12" t="n">
        <f aca="false">IFERROR(G135*1000/E135*1000,0)</f>
        <v>7478.0701754386</v>
      </c>
      <c r="J135" s="13" t="str">
        <f aca="false">IF(F135&gt;=95,"S",IF(F135&gt;=85,"A",IF(F135&gt;=70,"B",IF(F135&gt;=50,"C","D"))))</f>
        <v>C</v>
      </c>
      <c r="K135" s="14" t="s">
        <v>35</v>
      </c>
      <c r="L135" s="15" t="s">
        <v>18</v>
      </c>
    </row>
    <row r="136" customFormat="false" ht="15" hidden="false" customHeight="false" outlineLevel="0" collapsed="false">
      <c r="A136" s="4" t="s">
        <v>91</v>
      </c>
      <c r="B136" s="5" t="s">
        <v>24</v>
      </c>
      <c r="C136" s="6" t="s">
        <v>16</v>
      </c>
      <c r="D136" s="7" t="n">
        <v>500</v>
      </c>
      <c r="E136" s="8" t="n">
        <v>229000</v>
      </c>
      <c r="F136" s="9" t="n">
        <v>63</v>
      </c>
      <c r="G136" s="10" t="n">
        <v>1713</v>
      </c>
      <c r="H136" s="11" t="n">
        <v>87478</v>
      </c>
      <c r="I136" s="12" t="n">
        <f aca="false">IFERROR(G136*1000/E136*1000,0)</f>
        <v>7480.34934497817</v>
      </c>
      <c r="J136" s="13" t="str">
        <f aca="false">IF(F136&gt;=95,"S",IF(F136&gt;=85,"A",IF(F136&gt;=70,"B",IF(F136&gt;=50,"C","D"))))</f>
        <v>C</v>
      </c>
      <c r="K136" s="14" t="s">
        <v>44</v>
      </c>
      <c r="L136" s="20" t="s">
        <v>36</v>
      </c>
    </row>
    <row r="137" customFormat="false" ht="15" hidden="false" customHeight="false" outlineLevel="0" collapsed="false">
      <c r="A137" s="4" t="s">
        <v>91</v>
      </c>
      <c r="B137" s="5" t="s">
        <v>25</v>
      </c>
      <c r="C137" s="6" t="s">
        <v>16</v>
      </c>
      <c r="D137" s="7" t="n">
        <v>500</v>
      </c>
      <c r="E137" s="8" t="n">
        <v>227000</v>
      </c>
      <c r="F137" s="9" t="n">
        <v>62.2</v>
      </c>
      <c r="G137" s="10" t="n">
        <v>1698</v>
      </c>
      <c r="H137" s="11" t="n">
        <v>86714</v>
      </c>
      <c r="I137" s="12" t="n">
        <f aca="false">IFERROR(G137*1000/E137*1000,0)</f>
        <v>7480.17621145374</v>
      </c>
      <c r="J137" s="13" t="str">
        <f aca="false">IF(F137&gt;=95,"S",IF(F137&gt;=85,"A",IF(F137&gt;=70,"B",IF(F137&gt;=50,"C","D"))))</f>
        <v>C</v>
      </c>
      <c r="K137" s="14" t="s">
        <v>38</v>
      </c>
      <c r="L137" s="16" t="s">
        <v>21</v>
      </c>
    </row>
    <row r="138" customFormat="false" ht="15" hidden="false" customHeight="false" outlineLevel="0" collapsed="false">
      <c r="A138" s="4" t="s">
        <v>91</v>
      </c>
      <c r="B138" s="5" t="s">
        <v>28</v>
      </c>
      <c r="C138" s="6" t="s">
        <v>16</v>
      </c>
      <c r="D138" s="7" t="n">
        <v>480</v>
      </c>
      <c r="E138" s="8" t="n">
        <v>215000</v>
      </c>
      <c r="F138" s="9" t="n">
        <v>61.5</v>
      </c>
      <c r="G138" s="10" t="n">
        <v>1608</v>
      </c>
      <c r="H138" s="11" t="n">
        <v>82130</v>
      </c>
      <c r="I138" s="12" t="n">
        <f aca="false">IFERROR(G138*1000/E138*1000,0)</f>
        <v>7479.06976744186</v>
      </c>
      <c r="J138" s="13" t="str">
        <f aca="false">IF(F138&gt;=95,"S",IF(F138&gt;=85,"A",IF(F138&gt;=70,"B",IF(F138&gt;=50,"C","D"))))</f>
        <v>C</v>
      </c>
      <c r="K138" s="14" t="s">
        <v>30</v>
      </c>
      <c r="L138" s="16" t="s">
        <v>21</v>
      </c>
    </row>
    <row r="139" customFormat="false" ht="15" hidden="false" customHeight="false" outlineLevel="0" collapsed="false">
      <c r="A139" s="4" t="s">
        <v>91</v>
      </c>
      <c r="B139" s="5" t="s">
        <v>29</v>
      </c>
      <c r="C139" s="6" t="s">
        <v>16</v>
      </c>
      <c r="D139" s="7" t="n">
        <v>480</v>
      </c>
      <c r="E139" s="8" t="n">
        <v>220000</v>
      </c>
      <c r="F139" s="9" t="n">
        <v>63</v>
      </c>
      <c r="G139" s="10" t="n">
        <v>1646</v>
      </c>
      <c r="H139" s="11" t="n">
        <v>84040</v>
      </c>
      <c r="I139" s="12" t="n">
        <f aca="false">IFERROR(G139*1000/E139*1000,0)</f>
        <v>7481.81818181818</v>
      </c>
      <c r="J139" s="13" t="str">
        <f aca="false">IF(F139&gt;=95,"S",IF(F139&gt;=85,"A",IF(F139&gt;=70,"B",IF(F139&gt;=50,"C","D"))))</f>
        <v>C</v>
      </c>
      <c r="K139" s="14" t="s">
        <v>38</v>
      </c>
      <c r="L139" s="16" t="s">
        <v>21</v>
      </c>
    </row>
    <row r="140" customFormat="false" ht="15" hidden="false" customHeight="false" outlineLevel="0" collapsed="false">
      <c r="A140" s="4" t="s">
        <v>91</v>
      </c>
      <c r="B140" s="5" t="s">
        <v>31</v>
      </c>
      <c r="C140" s="6" t="s">
        <v>16</v>
      </c>
      <c r="D140" s="7" t="n">
        <v>495</v>
      </c>
      <c r="E140" s="8" t="n">
        <v>220000</v>
      </c>
      <c r="F140" s="9" t="n">
        <v>61</v>
      </c>
      <c r="G140" s="10" t="n">
        <v>1646</v>
      </c>
      <c r="H140" s="11" t="n">
        <v>84040</v>
      </c>
      <c r="I140" s="12" t="n">
        <f aca="false">IFERROR(G140*1000/E140*1000,0)</f>
        <v>7481.81818181818</v>
      </c>
      <c r="J140" s="13" t="str">
        <f aca="false">IF(F140&gt;=95,"S",IF(F140&gt;=85,"A",IF(F140&gt;=70,"B",IF(F140&gt;=50,"C","D"))))</f>
        <v>C</v>
      </c>
      <c r="K140" s="14" t="s">
        <v>26</v>
      </c>
      <c r="L140" s="15" t="s">
        <v>18</v>
      </c>
    </row>
    <row r="141" customFormat="false" ht="15" hidden="false" customHeight="false" outlineLevel="0" collapsed="false">
      <c r="A141" s="4" t="s">
        <v>91</v>
      </c>
      <c r="B141" s="5" t="s">
        <v>34</v>
      </c>
      <c r="C141" s="6" t="s">
        <v>16</v>
      </c>
      <c r="D141" s="7" t="n">
        <v>500</v>
      </c>
      <c r="E141" s="8" t="n">
        <v>228000</v>
      </c>
      <c r="F141" s="9" t="n">
        <v>62.7</v>
      </c>
      <c r="G141" s="10" t="n">
        <v>1705</v>
      </c>
      <c r="H141" s="11" t="n">
        <v>87096</v>
      </c>
      <c r="I141" s="12" t="n">
        <f aca="false">IFERROR(G141*1000/E141*1000,0)</f>
        <v>7478.0701754386</v>
      </c>
      <c r="J141" s="13" t="str">
        <f aca="false">IF(F141&gt;=95,"S",IF(F141&gt;=85,"A",IF(F141&gt;=70,"B",IF(F141&gt;=50,"C","D"))))</f>
        <v>C</v>
      </c>
      <c r="K141" s="14" t="s">
        <v>32</v>
      </c>
      <c r="L141" s="17" t="s">
        <v>27</v>
      </c>
    </row>
    <row r="142" customFormat="false" ht="15" hidden="false" customHeight="false" outlineLevel="0" collapsed="false">
      <c r="A142" s="4" t="s">
        <v>91</v>
      </c>
      <c r="B142" s="5" t="s">
        <v>37</v>
      </c>
      <c r="C142" s="6" t="s">
        <v>16</v>
      </c>
      <c r="D142" s="7" t="n">
        <v>520</v>
      </c>
      <c r="E142" s="8" t="n">
        <v>228000</v>
      </c>
      <c r="F142" s="9" t="n">
        <v>60.3</v>
      </c>
      <c r="G142" s="10" t="n">
        <v>1705</v>
      </c>
      <c r="H142" s="11" t="n">
        <v>87096</v>
      </c>
      <c r="I142" s="12" t="n">
        <f aca="false">IFERROR(G142*1000/E142*1000,0)</f>
        <v>7478.0701754386</v>
      </c>
      <c r="J142" s="13" t="str">
        <f aca="false">IF(F142&gt;=95,"S",IF(F142&gt;=85,"A",IF(F142&gt;=70,"B",IF(F142&gt;=50,"C","D"))))</f>
        <v>C</v>
      </c>
      <c r="K142" s="14" t="s">
        <v>33</v>
      </c>
      <c r="L142" s="20" t="s">
        <v>36</v>
      </c>
    </row>
    <row r="143" customFormat="false" ht="15" hidden="false" customHeight="false" outlineLevel="0" collapsed="false">
      <c r="A143" s="4" t="s">
        <v>91</v>
      </c>
      <c r="B143" s="5" t="s">
        <v>39</v>
      </c>
      <c r="C143" s="6" t="s">
        <v>16</v>
      </c>
      <c r="D143" s="7" t="n">
        <v>520</v>
      </c>
      <c r="E143" s="8" t="n">
        <v>225000</v>
      </c>
      <c r="F143" s="9" t="n">
        <v>59.5</v>
      </c>
      <c r="G143" s="10" t="n">
        <v>1683</v>
      </c>
      <c r="H143" s="11" t="n">
        <v>85950</v>
      </c>
      <c r="I143" s="12" t="n">
        <f aca="false">IFERROR(G143*1000/E143*1000,0)</f>
        <v>7480</v>
      </c>
      <c r="J143" s="13" t="str">
        <f aca="false">IF(F143&gt;=95,"S",IF(F143&gt;=85,"A",IF(F143&gt;=70,"B",IF(F143&gt;=50,"C","D"))))</f>
        <v>C</v>
      </c>
      <c r="K143" s="18"/>
      <c r="L143" s="16" t="s">
        <v>21</v>
      </c>
    </row>
    <row r="144" customFormat="false" ht="15" hidden="false" customHeight="false" outlineLevel="0" collapsed="false">
      <c r="A144" s="4" t="s">
        <v>91</v>
      </c>
      <c r="B144" s="5" t="s">
        <v>40</v>
      </c>
      <c r="C144" s="6" t="s">
        <v>16</v>
      </c>
      <c r="D144" s="7" t="n">
        <v>530</v>
      </c>
      <c r="E144" s="8" t="n">
        <v>242000</v>
      </c>
      <c r="F144" s="9" t="n">
        <v>62.7</v>
      </c>
      <c r="G144" s="10" t="n">
        <v>1810</v>
      </c>
      <c r="H144" s="11" t="n">
        <v>92444</v>
      </c>
      <c r="I144" s="12" t="n">
        <f aca="false">IFERROR(G144*1000/E144*1000,0)</f>
        <v>7479.33884297521</v>
      </c>
      <c r="J144" s="13" t="str">
        <f aca="false">IF(F144&gt;=95,"S",IF(F144&gt;=85,"A",IF(F144&gt;=70,"B",IF(F144&gt;=50,"C","D"))))</f>
        <v>C</v>
      </c>
      <c r="K144" s="14" t="s">
        <v>17</v>
      </c>
      <c r="L144" s="20" t="s">
        <v>36</v>
      </c>
    </row>
    <row r="145" customFormat="false" ht="15" hidden="false" customHeight="false" outlineLevel="0" collapsed="false">
      <c r="A145" s="4" t="s">
        <v>91</v>
      </c>
      <c r="B145" s="5" t="s">
        <v>41</v>
      </c>
      <c r="C145" s="6" t="s">
        <v>16</v>
      </c>
      <c r="D145" s="7" t="n">
        <v>510</v>
      </c>
      <c r="E145" s="8" t="n">
        <v>233000</v>
      </c>
      <c r="F145" s="9" t="n">
        <v>62.6</v>
      </c>
      <c r="G145" s="10" t="n">
        <v>1743</v>
      </c>
      <c r="H145" s="11" t="n">
        <v>89006</v>
      </c>
      <c r="I145" s="12" t="n">
        <f aca="false">IFERROR(G145*1000/E145*1000,0)</f>
        <v>7480.68669527897</v>
      </c>
      <c r="J145" s="13" t="str">
        <f aca="false">IF(F145&gt;=95,"S",IF(F145&gt;=85,"A",IF(F145&gt;=70,"B",IF(F145&gt;=50,"C","D"))))</f>
        <v>C</v>
      </c>
      <c r="K145" s="14" t="s">
        <v>32</v>
      </c>
      <c r="L145" s="16" t="s">
        <v>21</v>
      </c>
    </row>
    <row r="146" customFormat="false" ht="15" hidden="false" customHeight="false" outlineLevel="0" collapsed="false">
      <c r="A146" s="4" t="s">
        <v>91</v>
      </c>
      <c r="B146" s="5" t="s">
        <v>42</v>
      </c>
      <c r="C146" s="6" t="s">
        <v>16</v>
      </c>
      <c r="D146" s="7" t="n">
        <v>510</v>
      </c>
      <c r="E146" s="8" t="n">
        <v>220000</v>
      </c>
      <c r="F146" s="9" t="n">
        <v>59.2</v>
      </c>
      <c r="G146" s="10" t="n">
        <v>1646</v>
      </c>
      <c r="H146" s="11" t="n">
        <v>84040</v>
      </c>
      <c r="I146" s="12" t="n">
        <f aca="false">IFERROR(G146*1000/E146*1000,0)</f>
        <v>7481.81818181818</v>
      </c>
      <c r="J146" s="13" t="str">
        <f aca="false">IF(F146&gt;=95,"S",IF(F146&gt;=85,"A",IF(F146&gt;=70,"B",IF(F146&gt;=50,"C","D"))))</f>
        <v>C</v>
      </c>
      <c r="K146" s="14" t="s">
        <v>38</v>
      </c>
      <c r="L146" s="15" t="s">
        <v>18</v>
      </c>
    </row>
    <row r="147" customFormat="false" ht="15" hidden="false" customHeight="false" outlineLevel="0" collapsed="false">
      <c r="A147" s="4" t="s">
        <v>91</v>
      </c>
      <c r="B147" s="5" t="s">
        <v>43</v>
      </c>
      <c r="C147" s="6" t="s">
        <v>16</v>
      </c>
      <c r="D147" s="7" t="n">
        <v>495</v>
      </c>
      <c r="E147" s="8" t="n">
        <v>225000</v>
      </c>
      <c r="F147" s="9" t="n">
        <v>62.3</v>
      </c>
      <c r="G147" s="10" t="n">
        <v>1683</v>
      </c>
      <c r="H147" s="11" t="n">
        <v>85950</v>
      </c>
      <c r="I147" s="12" t="n">
        <f aca="false">IFERROR(G147*1000/E147*1000,0)</f>
        <v>7480</v>
      </c>
      <c r="J147" s="13" t="str">
        <f aca="false">IF(F147&gt;=95,"S",IF(F147&gt;=85,"A",IF(F147&gt;=70,"B",IF(F147&gt;=50,"C","D"))))</f>
        <v>C</v>
      </c>
      <c r="K147" s="14" t="s">
        <v>33</v>
      </c>
      <c r="L147" s="16" t="s">
        <v>21</v>
      </c>
    </row>
    <row r="148" customFormat="false" ht="15" hidden="false" customHeight="false" outlineLevel="0" collapsed="false">
      <c r="A148" s="4" t="s">
        <v>91</v>
      </c>
      <c r="B148" s="21" t="s">
        <v>45</v>
      </c>
      <c r="C148" s="22" t="s">
        <v>46</v>
      </c>
      <c r="D148" s="7" t="n">
        <v>200</v>
      </c>
      <c r="E148" s="8" t="n">
        <v>132000</v>
      </c>
      <c r="F148" s="9" t="n">
        <v>90.6</v>
      </c>
      <c r="G148" s="10" t="n">
        <v>979</v>
      </c>
      <c r="H148" s="11" t="n">
        <v>39732</v>
      </c>
      <c r="I148" s="12" t="n">
        <f aca="false">IFERROR(G148*1000/E148*1000,0)</f>
        <v>7416.66666666667</v>
      </c>
      <c r="J148" s="13" t="str">
        <f aca="false">IF(F148&gt;=95,"S",IF(F148&gt;=85,"A",IF(F148&gt;=70,"B",IF(F148&gt;=50,"C","D"))))</f>
        <v>A</v>
      </c>
      <c r="K148" s="18"/>
      <c r="L148" s="15" t="s">
        <v>18</v>
      </c>
    </row>
    <row r="149" customFormat="false" ht="15" hidden="false" customHeight="false" outlineLevel="0" collapsed="false">
      <c r="A149" s="4" t="s">
        <v>91</v>
      </c>
      <c r="B149" s="21" t="s">
        <v>48</v>
      </c>
      <c r="C149" s="22" t="s">
        <v>46</v>
      </c>
      <c r="D149" s="7" t="n">
        <v>220</v>
      </c>
      <c r="E149" s="8" t="n">
        <v>136000</v>
      </c>
      <c r="F149" s="9" t="n">
        <v>85.1</v>
      </c>
      <c r="G149" s="10" t="n">
        <v>1009</v>
      </c>
      <c r="H149" s="11" t="n">
        <v>40936</v>
      </c>
      <c r="I149" s="12" t="n">
        <f aca="false">IFERROR(G149*1000/E149*1000,0)</f>
        <v>7419.11764705882</v>
      </c>
      <c r="J149" s="13" t="str">
        <f aca="false">IF(F149&gt;=95,"S",IF(F149&gt;=85,"A",IF(F149&gt;=70,"B",IF(F149&gt;=50,"C","D"))))</f>
        <v>A</v>
      </c>
      <c r="K149" s="14" t="s">
        <v>92</v>
      </c>
      <c r="L149" s="17" t="s">
        <v>27</v>
      </c>
    </row>
    <row r="150" customFormat="false" ht="15" hidden="false" customHeight="false" outlineLevel="0" collapsed="false">
      <c r="A150" s="4" t="s">
        <v>91</v>
      </c>
      <c r="B150" s="5" t="s">
        <v>50</v>
      </c>
      <c r="C150" s="23" t="s">
        <v>51</v>
      </c>
      <c r="D150" s="7" t="n">
        <v>147</v>
      </c>
      <c r="E150" s="8" t="n">
        <v>37000</v>
      </c>
      <c r="F150" s="9" t="n">
        <v>34.6</v>
      </c>
      <c r="G150" s="10" t="n">
        <v>0</v>
      </c>
      <c r="H150" s="11" t="n">
        <v>0</v>
      </c>
      <c r="I150" s="12" t="n">
        <v>0</v>
      </c>
      <c r="J150" s="13" t="str">
        <f aca="false">IF(F150&gt;=95,"S",IF(F150&gt;=85,"A",IF(F150&gt;=70,"B",IF(F150&gt;=50,"C","D"))))</f>
        <v>D</v>
      </c>
      <c r="K150" s="18"/>
      <c r="L150" s="20" t="s">
        <v>36</v>
      </c>
    </row>
    <row r="151" customFormat="false" ht="15" hidden="false" customHeight="false" outlineLevel="0" collapsed="false">
      <c r="A151" s="4" t="s">
        <v>91</v>
      </c>
      <c r="B151" s="5" t="s">
        <v>53</v>
      </c>
      <c r="C151" s="23" t="s">
        <v>51</v>
      </c>
      <c r="D151" s="7" t="n">
        <v>320</v>
      </c>
      <c r="E151" s="8" t="n">
        <v>82000</v>
      </c>
      <c r="F151" s="9" t="n">
        <v>35.4</v>
      </c>
      <c r="G151" s="10" t="n">
        <v>0</v>
      </c>
      <c r="H151" s="11" t="n">
        <v>0</v>
      </c>
      <c r="I151" s="12" t="n">
        <v>0</v>
      </c>
      <c r="J151" s="13" t="str">
        <f aca="false">IF(F151&gt;=95,"S",IF(F151&gt;=85,"A",IF(F151&gt;=70,"B",IF(F151&gt;=50,"C","D"))))</f>
        <v>D</v>
      </c>
      <c r="K151" s="24" t="s">
        <v>56</v>
      </c>
      <c r="L151" s="16" t="s">
        <v>21</v>
      </c>
    </row>
    <row r="152" customFormat="false" ht="15" hidden="false" customHeight="false" outlineLevel="0" collapsed="false">
      <c r="A152" s="4" t="s">
        <v>91</v>
      </c>
      <c r="B152" s="5" t="s">
        <v>55</v>
      </c>
      <c r="C152" s="23" t="s">
        <v>51</v>
      </c>
      <c r="D152" s="7" t="n">
        <v>250</v>
      </c>
      <c r="E152" s="8" t="n">
        <v>76000</v>
      </c>
      <c r="F152" s="9" t="n">
        <v>41.9</v>
      </c>
      <c r="G152" s="10" t="n">
        <v>0</v>
      </c>
      <c r="H152" s="11" t="n">
        <v>0</v>
      </c>
      <c r="I152" s="12" t="n">
        <v>0</v>
      </c>
      <c r="J152" s="13" t="str">
        <f aca="false">IF(F152&gt;=95,"S",IF(F152&gt;=85,"A",IF(F152&gt;=70,"B",IF(F152&gt;=50,"C","D"))))</f>
        <v>D</v>
      </c>
      <c r="K152" s="14" t="s">
        <v>52</v>
      </c>
      <c r="L152" s="16" t="s">
        <v>21</v>
      </c>
    </row>
    <row r="153" customFormat="false" ht="15" hidden="false" customHeight="false" outlineLevel="0" collapsed="false">
      <c r="A153" s="4" t="s">
        <v>91</v>
      </c>
      <c r="B153" s="5" t="s">
        <v>57</v>
      </c>
      <c r="C153" s="23" t="s">
        <v>51</v>
      </c>
      <c r="D153" s="7" t="n">
        <v>180</v>
      </c>
      <c r="E153" s="8" t="n">
        <v>43000</v>
      </c>
      <c r="F153" s="9" t="n">
        <v>32.8</v>
      </c>
      <c r="G153" s="10" t="n">
        <v>0</v>
      </c>
      <c r="H153" s="11" t="n">
        <v>0</v>
      </c>
      <c r="I153" s="12" t="n">
        <v>0</v>
      </c>
      <c r="J153" s="13" t="str">
        <f aca="false">IF(F153&gt;=95,"S",IF(F153&gt;=85,"A",IF(F153&gt;=70,"B",IF(F153&gt;=50,"C","D"))))</f>
        <v>D</v>
      </c>
      <c r="K153" s="14" t="s">
        <v>63</v>
      </c>
      <c r="L153" s="16" t="s">
        <v>21</v>
      </c>
    </row>
    <row r="154" customFormat="false" ht="15" hidden="false" customHeight="false" outlineLevel="0" collapsed="false">
      <c r="A154" s="4" t="s">
        <v>91</v>
      </c>
      <c r="B154" s="5" t="s">
        <v>58</v>
      </c>
      <c r="C154" s="23" t="s">
        <v>51</v>
      </c>
      <c r="D154" s="7" t="n">
        <v>95</v>
      </c>
      <c r="E154" s="8" t="n">
        <v>25000</v>
      </c>
      <c r="F154" s="9" t="n">
        <v>37.3</v>
      </c>
      <c r="G154" s="10" t="n">
        <v>0</v>
      </c>
      <c r="H154" s="11" t="n">
        <v>0</v>
      </c>
      <c r="I154" s="12" t="n">
        <v>0</v>
      </c>
      <c r="J154" s="13" t="str">
        <f aca="false">IF(F154&gt;=95,"S",IF(F154&gt;=85,"A",IF(F154&gt;=70,"B",IF(F154&gt;=50,"C","D"))))</f>
        <v>D</v>
      </c>
      <c r="K154" s="14" t="s">
        <v>88</v>
      </c>
      <c r="L154" s="16" t="s">
        <v>21</v>
      </c>
    </row>
    <row r="155" customFormat="false" ht="15" hidden="false" customHeight="false" outlineLevel="0" collapsed="false">
      <c r="A155" s="4" t="s">
        <v>91</v>
      </c>
      <c r="B155" s="5" t="s">
        <v>59</v>
      </c>
      <c r="C155" s="23" t="s">
        <v>51</v>
      </c>
      <c r="D155" s="7" t="n">
        <v>32</v>
      </c>
      <c r="E155" s="8" t="n">
        <v>4000</v>
      </c>
      <c r="F155" s="9" t="n">
        <v>18</v>
      </c>
      <c r="G155" s="10" t="n">
        <v>0</v>
      </c>
      <c r="H155" s="11" t="n">
        <v>0</v>
      </c>
      <c r="I155" s="12" t="n">
        <v>0</v>
      </c>
      <c r="J155" s="13" t="str">
        <f aca="false">IF(F155&gt;=95,"S",IF(F155&gt;=85,"A",IF(F155&gt;=70,"B",IF(F155&gt;=50,"C","D"))))</f>
        <v>D</v>
      </c>
      <c r="K155" s="14" t="s">
        <v>65</v>
      </c>
      <c r="L155" s="16" t="s">
        <v>21</v>
      </c>
    </row>
    <row r="156" customFormat="false" ht="15" hidden="false" customHeight="false" outlineLevel="0" collapsed="false">
      <c r="A156" s="4" t="s">
        <v>91</v>
      </c>
      <c r="B156" s="5" t="s">
        <v>61</v>
      </c>
      <c r="C156" s="23" t="s">
        <v>51</v>
      </c>
      <c r="D156" s="7" t="n">
        <v>220</v>
      </c>
      <c r="E156" s="8" t="n">
        <v>30000</v>
      </c>
      <c r="F156" s="9" t="n">
        <v>18.8</v>
      </c>
      <c r="G156" s="10" t="n">
        <v>0</v>
      </c>
      <c r="H156" s="11" t="n">
        <v>0</v>
      </c>
      <c r="I156" s="12" t="n">
        <v>0</v>
      </c>
      <c r="J156" s="13" t="str">
        <f aca="false">IF(F156&gt;=95,"S",IF(F156&gt;=85,"A",IF(F156&gt;=70,"B",IF(F156&gt;=50,"C","D"))))</f>
        <v>D</v>
      </c>
      <c r="K156" s="14" t="s">
        <v>88</v>
      </c>
      <c r="L156" s="15" t="s">
        <v>18</v>
      </c>
    </row>
    <row r="157" customFormat="false" ht="15" hidden="false" customHeight="false" outlineLevel="0" collapsed="false">
      <c r="A157" s="4" t="s">
        <v>91</v>
      </c>
      <c r="B157" s="5" t="s">
        <v>62</v>
      </c>
      <c r="C157" s="23" t="s">
        <v>51</v>
      </c>
      <c r="D157" s="7" t="n">
        <v>85</v>
      </c>
      <c r="E157" s="8" t="n">
        <v>9000</v>
      </c>
      <c r="F157" s="9" t="n">
        <v>15.7</v>
      </c>
      <c r="G157" s="10" t="n">
        <v>0</v>
      </c>
      <c r="H157" s="11" t="n">
        <v>0</v>
      </c>
      <c r="I157" s="12" t="n">
        <v>0</v>
      </c>
      <c r="J157" s="13" t="str">
        <f aca="false">IF(F157&gt;=95,"S",IF(F157&gt;=85,"A",IF(F157&gt;=70,"B",IF(F157&gt;=50,"C","D"))))</f>
        <v>D</v>
      </c>
      <c r="K157" s="14" t="s">
        <v>60</v>
      </c>
      <c r="L157" s="20" t="s">
        <v>36</v>
      </c>
    </row>
    <row r="158" customFormat="false" ht="15" hidden="false" customHeight="false" outlineLevel="0" collapsed="false">
      <c r="A158" s="4" t="s">
        <v>91</v>
      </c>
      <c r="B158" s="5" t="s">
        <v>64</v>
      </c>
      <c r="C158" s="23" t="s">
        <v>51</v>
      </c>
      <c r="D158" s="7" t="n">
        <v>60</v>
      </c>
      <c r="E158" s="8" t="n">
        <v>6000</v>
      </c>
      <c r="F158" s="9" t="n">
        <v>15.2</v>
      </c>
      <c r="G158" s="10" t="n">
        <v>0</v>
      </c>
      <c r="H158" s="11" t="n">
        <v>0</v>
      </c>
      <c r="I158" s="12" t="n">
        <v>0</v>
      </c>
      <c r="J158" s="13" t="str">
        <f aca="false">IF(F158&gt;=95,"S",IF(F158&gt;=85,"A",IF(F158&gt;=70,"B",IF(F158&gt;=50,"C","D"))))</f>
        <v>D</v>
      </c>
      <c r="K158" s="18"/>
      <c r="L158" s="17" t="s">
        <v>27</v>
      </c>
    </row>
    <row r="159" customFormat="false" ht="15" hidden="false" customHeight="false" outlineLevel="0" collapsed="false">
      <c r="A159" s="4" t="s">
        <v>91</v>
      </c>
      <c r="B159" s="5" t="s">
        <v>66</v>
      </c>
      <c r="C159" s="23" t="s">
        <v>51</v>
      </c>
      <c r="D159" s="7" t="n">
        <v>75</v>
      </c>
      <c r="E159" s="8" t="n">
        <v>9000</v>
      </c>
      <c r="F159" s="9" t="n">
        <v>17.5</v>
      </c>
      <c r="G159" s="10" t="n">
        <v>0</v>
      </c>
      <c r="H159" s="11" t="n">
        <v>0</v>
      </c>
      <c r="I159" s="12" t="n">
        <v>0</v>
      </c>
      <c r="J159" s="13" t="str">
        <f aca="false">IF(F159&gt;=95,"S",IF(F159&gt;=85,"A",IF(F159&gt;=70,"B",IF(F159&gt;=50,"C","D"))))</f>
        <v>D</v>
      </c>
      <c r="K159" s="14" t="s">
        <v>63</v>
      </c>
      <c r="L159" s="16" t="s">
        <v>21</v>
      </c>
    </row>
    <row r="160" customFormat="false" ht="15" hidden="false" customHeight="false" outlineLevel="0" collapsed="false">
      <c r="A160" s="4" t="s">
        <v>91</v>
      </c>
      <c r="B160" s="5" t="s">
        <v>68</v>
      </c>
      <c r="C160" s="25" t="s">
        <v>69</v>
      </c>
      <c r="D160" s="7" t="n">
        <v>460</v>
      </c>
      <c r="E160" s="8" t="n">
        <v>191000</v>
      </c>
      <c r="F160" s="9" t="n">
        <v>57</v>
      </c>
      <c r="G160" s="10" t="n">
        <v>1308</v>
      </c>
      <c r="H160" s="11" t="n">
        <v>50615</v>
      </c>
      <c r="I160" s="12" t="n">
        <f aca="false">IFERROR(G160*1000/E160*1000,0)</f>
        <v>6848.16753926702</v>
      </c>
      <c r="J160" s="13" t="str">
        <f aca="false">IF(F160&gt;=95,"S",IF(F160&gt;=85,"A",IF(F160&gt;=70,"B",IF(F160&gt;=50,"C","D"))))</f>
        <v>C</v>
      </c>
      <c r="K160" s="14" t="s">
        <v>70</v>
      </c>
      <c r="L160" s="16" t="s">
        <v>21</v>
      </c>
    </row>
    <row r="161" customFormat="false" ht="15" hidden="false" customHeight="false" outlineLevel="0" collapsed="false">
      <c r="A161" s="4" t="s">
        <v>91</v>
      </c>
      <c r="B161" s="5" t="s">
        <v>71</v>
      </c>
      <c r="C161" s="25" t="s">
        <v>69</v>
      </c>
      <c r="D161" s="7" t="n">
        <v>460</v>
      </c>
      <c r="E161" s="8" t="n">
        <v>190000</v>
      </c>
      <c r="F161" s="9" t="n">
        <v>56.6</v>
      </c>
      <c r="G161" s="10" t="n">
        <v>1302</v>
      </c>
      <c r="H161" s="11" t="n">
        <v>50350</v>
      </c>
      <c r="I161" s="12" t="n">
        <f aca="false">IFERROR(G161*1000/E161*1000,0)</f>
        <v>6852.63157894737</v>
      </c>
      <c r="J161" s="13" t="str">
        <f aca="false">IF(F161&gt;=95,"S",IF(F161&gt;=85,"A",IF(F161&gt;=70,"B",IF(F161&gt;=50,"C","D"))))</f>
        <v>C</v>
      </c>
      <c r="K161" s="14" t="s">
        <v>83</v>
      </c>
      <c r="L161" s="16" t="s">
        <v>21</v>
      </c>
    </row>
    <row r="162" customFormat="false" ht="15" hidden="false" customHeight="false" outlineLevel="0" collapsed="false">
      <c r="A162" s="4" t="s">
        <v>91</v>
      </c>
      <c r="B162" s="5" t="s">
        <v>73</v>
      </c>
      <c r="C162" s="26" t="s">
        <v>74</v>
      </c>
      <c r="D162" s="7" t="n">
        <v>80</v>
      </c>
      <c r="E162" s="8" t="n">
        <v>22000</v>
      </c>
      <c r="F162" s="9" t="n">
        <v>39</v>
      </c>
      <c r="G162" s="10" t="n">
        <v>0</v>
      </c>
      <c r="H162" s="11" t="n">
        <v>0</v>
      </c>
      <c r="I162" s="12" t="n">
        <v>0</v>
      </c>
      <c r="J162" s="13" t="str">
        <f aca="false">IF(F162&gt;=95,"S",IF(F162&gt;=85,"A",IF(F162&gt;=70,"B",IF(F162&gt;=50,"C","D"))))</f>
        <v>D</v>
      </c>
      <c r="K162" s="14" t="s">
        <v>89</v>
      </c>
      <c r="L162" s="16" t="s">
        <v>21</v>
      </c>
    </row>
    <row r="163" customFormat="false" ht="15" hidden="false" customHeight="false" outlineLevel="0" collapsed="false">
      <c r="A163" s="4" t="s">
        <v>91</v>
      </c>
      <c r="B163" s="5" t="s">
        <v>76</v>
      </c>
      <c r="C163" s="26" t="s">
        <v>74</v>
      </c>
      <c r="D163" s="7" t="n">
        <v>80</v>
      </c>
      <c r="E163" s="8" t="n">
        <v>21000</v>
      </c>
      <c r="F163" s="9" t="n">
        <v>36</v>
      </c>
      <c r="G163" s="10" t="n">
        <v>0</v>
      </c>
      <c r="H163" s="11" t="n">
        <v>0</v>
      </c>
      <c r="I163" s="12" t="n">
        <v>0</v>
      </c>
      <c r="J163" s="13" t="str">
        <f aca="false">IF(F163&gt;=95,"S",IF(F163&gt;=85,"A",IF(F163&gt;=70,"B",IF(F163&gt;=50,"C","D"))))</f>
        <v>D</v>
      </c>
      <c r="K163" s="14" t="s">
        <v>84</v>
      </c>
      <c r="L163" s="15" t="s">
        <v>18</v>
      </c>
    </row>
    <row r="164" customFormat="false" ht="15" hidden="false" customHeight="false" outlineLevel="0" collapsed="false">
      <c r="A164" s="4" t="s">
        <v>91</v>
      </c>
      <c r="B164" s="5" t="s">
        <v>78</v>
      </c>
      <c r="C164" s="26" t="s">
        <v>74</v>
      </c>
      <c r="D164" s="7" t="n">
        <v>100</v>
      </c>
      <c r="E164" s="8" t="n">
        <v>31000</v>
      </c>
      <c r="F164" s="9" t="n">
        <v>42.7</v>
      </c>
      <c r="G164" s="10" t="n">
        <v>0</v>
      </c>
      <c r="H164" s="11" t="n">
        <v>0</v>
      </c>
      <c r="I164" s="12" t="n">
        <v>0</v>
      </c>
      <c r="J164" s="13" t="str">
        <f aca="false">IF(F164&gt;=95,"S",IF(F164&gt;=85,"A",IF(F164&gt;=70,"B",IF(F164&gt;=50,"C","D"))))</f>
        <v>D</v>
      </c>
      <c r="K164" s="14" t="s">
        <v>84</v>
      </c>
      <c r="L164" s="16" t="s">
        <v>21</v>
      </c>
    </row>
    <row r="165" customFormat="false" ht="15" hidden="false" customHeight="false" outlineLevel="0" collapsed="false">
      <c r="A165" s="4" t="s">
        <v>93</v>
      </c>
      <c r="B165" s="27" t="s">
        <v>15</v>
      </c>
      <c r="C165" s="6" t="s">
        <v>16</v>
      </c>
      <c r="D165" s="28" t="n">
        <v>500</v>
      </c>
      <c r="E165" s="29" t="n">
        <v>323000</v>
      </c>
      <c r="F165" s="30" t="n">
        <v>88.6</v>
      </c>
      <c r="G165" s="31" t="n">
        <v>2416</v>
      </c>
      <c r="H165" s="32" t="n">
        <v>123386</v>
      </c>
      <c r="I165" s="33" t="n">
        <f aca="false">IFERROR(G165*1000/E165*1000,0)</f>
        <v>7479.87616099071</v>
      </c>
      <c r="J165" s="13" t="str">
        <f aca="false">IF(F165&gt;=95,"S",IF(F165&gt;=85,"A",IF(F165&gt;=70,"B",IF(F165&gt;=50,"C","D"))))</f>
        <v>A</v>
      </c>
      <c r="K165" s="14" t="s">
        <v>30</v>
      </c>
      <c r="L165" s="16" t="s">
        <v>21</v>
      </c>
    </row>
    <row r="166" customFormat="false" ht="15" hidden="false" customHeight="false" outlineLevel="0" collapsed="false">
      <c r="A166" s="4" t="s">
        <v>93</v>
      </c>
      <c r="B166" s="27" t="s">
        <v>19</v>
      </c>
      <c r="C166" s="6" t="s">
        <v>16</v>
      </c>
      <c r="D166" s="28" t="n">
        <v>500</v>
      </c>
      <c r="E166" s="29" t="n">
        <v>335000</v>
      </c>
      <c r="F166" s="30" t="n">
        <v>92</v>
      </c>
      <c r="G166" s="31" t="n">
        <v>2506</v>
      </c>
      <c r="H166" s="32" t="n">
        <v>127970</v>
      </c>
      <c r="I166" s="33" t="n">
        <f aca="false">IFERROR(G166*1000/E166*1000,0)</f>
        <v>7480.59701492537</v>
      </c>
      <c r="J166" s="13" t="str">
        <f aca="false">IF(F166&gt;=95,"S",IF(F166&gt;=85,"A",IF(F166&gt;=70,"B",IF(F166&gt;=50,"C","D"))))</f>
        <v>A</v>
      </c>
      <c r="K166" s="14" t="s">
        <v>23</v>
      </c>
      <c r="L166" s="17" t="s">
        <v>27</v>
      </c>
    </row>
    <row r="167" customFormat="false" ht="15" hidden="false" customHeight="false" outlineLevel="0" collapsed="false">
      <c r="A167" s="4" t="s">
        <v>93</v>
      </c>
      <c r="B167" s="27" t="s">
        <v>22</v>
      </c>
      <c r="C167" s="6" t="s">
        <v>16</v>
      </c>
      <c r="D167" s="28" t="n">
        <v>512</v>
      </c>
      <c r="E167" s="29" t="n">
        <v>336000</v>
      </c>
      <c r="F167" s="30" t="n">
        <v>90</v>
      </c>
      <c r="G167" s="31" t="n">
        <v>2513</v>
      </c>
      <c r="H167" s="32" t="n">
        <v>128352</v>
      </c>
      <c r="I167" s="33" t="n">
        <f aca="false">IFERROR(G167*1000/E167*1000,0)</f>
        <v>7479.16666666667</v>
      </c>
      <c r="J167" s="13" t="str">
        <f aca="false">IF(F167&gt;=95,"S",IF(F167&gt;=85,"A",IF(F167&gt;=70,"B",IF(F167&gt;=50,"C","D"))))</f>
        <v>A</v>
      </c>
      <c r="K167" s="14" t="s">
        <v>20</v>
      </c>
      <c r="L167" s="16" t="s">
        <v>21</v>
      </c>
    </row>
    <row r="168" customFormat="false" ht="15" hidden="false" customHeight="false" outlineLevel="0" collapsed="false">
      <c r="A168" s="4" t="s">
        <v>93</v>
      </c>
      <c r="B168" s="27" t="s">
        <v>24</v>
      </c>
      <c r="C168" s="6" t="s">
        <v>16</v>
      </c>
      <c r="D168" s="28" t="n">
        <v>500</v>
      </c>
      <c r="E168" s="29" t="n">
        <v>334000</v>
      </c>
      <c r="F168" s="30" t="n">
        <v>91.7</v>
      </c>
      <c r="G168" s="31" t="n">
        <v>2498</v>
      </c>
      <c r="H168" s="32" t="n">
        <v>127588</v>
      </c>
      <c r="I168" s="33" t="n">
        <f aca="false">IFERROR(G168*1000/E168*1000,0)</f>
        <v>7479.04191616767</v>
      </c>
      <c r="J168" s="13" t="str">
        <f aca="false">IF(F168&gt;=95,"S",IF(F168&gt;=85,"A",IF(F168&gt;=70,"B",IF(F168&gt;=50,"C","D"))))</f>
        <v>A</v>
      </c>
      <c r="K168" s="14" t="s">
        <v>44</v>
      </c>
      <c r="L168" s="16" t="s">
        <v>21</v>
      </c>
    </row>
    <row r="169" customFormat="false" ht="15" hidden="false" customHeight="false" outlineLevel="0" collapsed="false">
      <c r="A169" s="4" t="s">
        <v>93</v>
      </c>
      <c r="B169" s="27" t="s">
        <v>25</v>
      </c>
      <c r="C169" s="6" t="s">
        <v>16</v>
      </c>
      <c r="D169" s="28" t="n">
        <v>500</v>
      </c>
      <c r="E169" s="29" t="n">
        <v>331000</v>
      </c>
      <c r="F169" s="30" t="n">
        <v>90.9</v>
      </c>
      <c r="G169" s="31" t="n">
        <v>2476</v>
      </c>
      <c r="H169" s="32" t="n">
        <v>126442</v>
      </c>
      <c r="I169" s="33" t="n">
        <f aca="false">IFERROR(G169*1000/E169*1000,0)</f>
        <v>7480.36253776435</v>
      </c>
      <c r="J169" s="13" t="str">
        <f aca="false">IF(F169&gt;=95,"S",IF(F169&gt;=85,"A",IF(F169&gt;=70,"B",IF(F169&gt;=50,"C","D"))))</f>
        <v>A</v>
      </c>
      <c r="K169" s="14" t="s">
        <v>23</v>
      </c>
      <c r="L169" s="16" t="s">
        <v>21</v>
      </c>
    </row>
    <row r="170" customFormat="false" ht="15" hidden="false" customHeight="false" outlineLevel="0" collapsed="false">
      <c r="A170" s="4" t="s">
        <v>93</v>
      </c>
      <c r="B170" s="27" t="s">
        <v>28</v>
      </c>
      <c r="C170" s="6" t="s">
        <v>16</v>
      </c>
      <c r="D170" s="28" t="n">
        <v>480</v>
      </c>
      <c r="E170" s="29" t="n">
        <v>325000</v>
      </c>
      <c r="F170" s="30" t="n">
        <v>92.9</v>
      </c>
      <c r="G170" s="31" t="n">
        <v>2431</v>
      </c>
      <c r="H170" s="32" t="n">
        <v>124150</v>
      </c>
      <c r="I170" s="33" t="n">
        <f aca="false">IFERROR(G170*1000/E170*1000,0)</f>
        <v>7480</v>
      </c>
      <c r="J170" s="13" t="str">
        <f aca="false">IF(F170&gt;=95,"S",IF(F170&gt;=85,"A",IF(F170&gt;=70,"B",IF(F170&gt;=50,"C","D"))))</f>
        <v>A</v>
      </c>
      <c r="K170" s="14" t="s">
        <v>38</v>
      </c>
      <c r="L170" s="19" t="s">
        <v>33</v>
      </c>
    </row>
    <row r="171" customFormat="false" ht="15" hidden="false" customHeight="false" outlineLevel="0" collapsed="false">
      <c r="A171" s="4" t="s">
        <v>93</v>
      </c>
      <c r="B171" s="27" t="s">
        <v>29</v>
      </c>
      <c r="C171" s="6" t="s">
        <v>16</v>
      </c>
      <c r="D171" s="28" t="n">
        <v>480</v>
      </c>
      <c r="E171" s="29" t="n">
        <v>332000</v>
      </c>
      <c r="F171" s="30" t="n">
        <v>94.8</v>
      </c>
      <c r="G171" s="31" t="n">
        <v>2483</v>
      </c>
      <c r="H171" s="32" t="n">
        <v>126824</v>
      </c>
      <c r="I171" s="33" t="n">
        <f aca="false">IFERROR(G171*1000/E171*1000,0)</f>
        <v>7478.9156626506</v>
      </c>
      <c r="J171" s="13" t="str">
        <f aca="false">IF(F171&gt;=95,"S",IF(F171&gt;=85,"A",IF(F171&gt;=70,"B",IF(F171&gt;=50,"C","D"))))</f>
        <v>A</v>
      </c>
      <c r="K171" s="14" t="s">
        <v>20</v>
      </c>
      <c r="L171" s="15" t="s">
        <v>18</v>
      </c>
    </row>
    <row r="172" customFormat="false" ht="15" hidden="false" customHeight="false" outlineLevel="0" collapsed="false">
      <c r="A172" s="4" t="s">
        <v>93</v>
      </c>
      <c r="B172" s="27" t="s">
        <v>31</v>
      </c>
      <c r="C172" s="6" t="s">
        <v>16</v>
      </c>
      <c r="D172" s="28" t="n">
        <v>495</v>
      </c>
      <c r="E172" s="29" t="n">
        <v>332000</v>
      </c>
      <c r="F172" s="30" t="n">
        <v>91.9</v>
      </c>
      <c r="G172" s="31" t="n">
        <v>2483</v>
      </c>
      <c r="H172" s="32" t="n">
        <v>126824</v>
      </c>
      <c r="I172" s="33" t="n">
        <f aca="false">IFERROR(G172*1000/E172*1000,0)</f>
        <v>7478.9156626506</v>
      </c>
      <c r="J172" s="13" t="str">
        <f aca="false">IF(F172&gt;=95,"S",IF(F172&gt;=85,"A",IF(F172&gt;=70,"B",IF(F172&gt;=50,"C","D"))))</f>
        <v>A</v>
      </c>
      <c r="K172" s="14" t="s">
        <v>38</v>
      </c>
      <c r="L172" s="19" t="s">
        <v>33</v>
      </c>
    </row>
    <row r="173" customFormat="false" ht="15" hidden="false" customHeight="false" outlineLevel="0" collapsed="false">
      <c r="A173" s="4" t="s">
        <v>93</v>
      </c>
      <c r="B173" s="27" t="s">
        <v>34</v>
      </c>
      <c r="C173" s="6" t="s">
        <v>16</v>
      </c>
      <c r="D173" s="28" t="n">
        <v>500</v>
      </c>
      <c r="E173" s="29" t="n">
        <v>346000</v>
      </c>
      <c r="F173" s="30" t="n">
        <v>94.9</v>
      </c>
      <c r="G173" s="31" t="n">
        <v>2588</v>
      </c>
      <c r="H173" s="32" t="n">
        <v>132172</v>
      </c>
      <c r="I173" s="33" t="n">
        <f aca="false">IFERROR(G173*1000/E173*1000,0)</f>
        <v>7479.76878612717</v>
      </c>
      <c r="J173" s="13" t="str">
        <f aca="false">IF(F173&gt;=95,"S",IF(F173&gt;=85,"A",IF(F173&gt;=70,"B",IF(F173&gt;=50,"C","D"))))</f>
        <v>A</v>
      </c>
      <c r="K173" s="14" t="s">
        <v>38</v>
      </c>
      <c r="L173" s="16" t="s">
        <v>21</v>
      </c>
    </row>
    <row r="174" customFormat="false" ht="15" hidden="false" customHeight="false" outlineLevel="0" collapsed="false">
      <c r="A174" s="4" t="s">
        <v>93</v>
      </c>
      <c r="B174" s="27" t="s">
        <v>37</v>
      </c>
      <c r="C174" s="6" t="s">
        <v>16</v>
      </c>
      <c r="D174" s="28" t="n">
        <v>520</v>
      </c>
      <c r="E174" s="29" t="n">
        <v>336000</v>
      </c>
      <c r="F174" s="30" t="n">
        <v>88.6</v>
      </c>
      <c r="G174" s="31" t="n">
        <v>2513</v>
      </c>
      <c r="H174" s="32" t="n">
        <v>128352</v>
      </c>
      <c r="I174" s="33" t="n">
        <f aca="false">IFERROR(G174*1000/E174*1000,0)</f>
        <v>7479.16666666667</v>
      </c>
      <c r="J174" s="13" t="str">
        <f aca="false">IF(F174&gt;=95,"S",IF(F174&gt;=85,"A",IF(F174&gt;=70,"B",IF(F174&gt;=50,"C","D"))))</f>
        <v>A</v>
      </c>
      <c r="K174" s="14" t="s">
        <v>20</v>
      </c>
      <c r="L174" s="19" t="s">
        <v>33</v>
      </c>
    </row>
    <row r="175" customFormat="false" ht="15" hidden="false" customHeight="false" outlineLevel="0" collapsed="false">
      <c r="A175" s="4" t="s">
        <v>93</v>
      </c>
      <c r="B175" s="27" t="s">
        <v>39</v>
      </c>
      <c r="C175" s="6" t="s">
        <v>16</v>
      </c>
      <c r="D175" s="28" t="n">
        <v>520</v>
      </c>
      <c r="E175" s="29" t="n">
        <v>356000</v>
      </c>
      <c r="F175" s="30" t="n">
        <v>93.8</v>
      </c>
      <c r="G175" s="31" t="n">
        <v>2663</v>
      </c>
      <c r="H175" s="32" t="n">
        <v>135992</v>
      </c>
      <c r="I175" s="33" t="n">
        <f aca="false">IFERROR(G175*1000/E175*1000,0)</f>
        <v>7480.33707865169</v>
      </c>
      <c r="J175" s="13" t="str">
        <f aca="false">IF(F175&gt;=95,"S",IF(F175&gt;=85,"A",IF(F175&gt;=70,"B",IF(F175&gt;=50,"C","D"))))</f>
        <v>A</v>
      </c>
      <c r="K175" s="14" t="s">
        <v>30</v>
      </c>
      <c r="L175" s="16" t="s">
        <v>21</v>
      </c>
    </row>
    <row r="176" customFormat="false" ht="15" hidden="false" customHeight="false" outlineLevel="0" collapsed="false">
      <c r="A176" s="4" t="s">
        <v>93</v>
      </c>
      <c r="B176" s="27" t="s">
        <v>40</v>
      </c>
      <c r="C176" s="6" t="s">
        <v>16</v>
      </c>
      <c r="D176" s="28" t="n">
        <v>530</v>
      </c>
      <c r="E176" s="29" t="n">
        <v>345000</v>
      </c>
      <c r="F176" s="30" t="n">
        <v>89.4</v>
      </c>
      <c r="G176" s="31" t="n">
        <v>2581</v>
      </c>
      <c r="H176" s="32" t="n">
        <v>131790</v>
      </c>
      <c r="I176" s="33" t="n">
        <f aca="false">IFERROR(G176*1000/E176*1000,0)</f>
        <v>7481.15942028986</v>
      </c>
      <c r="J176" s="13" t="str">
        <f aca="false">IF(F176&gt;=95,"S",IF(F176&gt;=85,"A",IF(F176&gt;=70,"B",IF(F176&gt;=50,"C","D"))))</f>
        <v>A</v>
      </c>
      <c r="K176" s="14" t="s">
        <v>86</v>
      </c>
      <c r="L176" s="15" t="s">
        <v>18</v>
      </c>
    </row>
    <row r="177" customFormat="false" ht="15" hidden="false" customHeight="false" outlineLevel="0" collapsed="false">
      <c r="A177" s="4" t="s">
        <v>93</v>
      </c>
      <c r="B177" s="27" t="s">
        <v>41</v>
      </c>
      <c r="C177" s="6" t="s">
        <v>16</v>
      </c>
      <c r="D177" s="28" t="n">
        <v>510</v>
      </c>
      <c r="E177" s="29" t="n">
        <v>343000</v>
      </c>
      <c r="F177" s="30" t="n">
        <v>92.3</v>
      </c>
      <c r="G177" s="31" t="n">
        <v>2566</v>
      </c>
      <c r="H177" s="32" t="n">
        <v>131026</v>
      </c>
      <c r="I177" s="33" t="n">
        <f aca="false">IFERROR(G177*1000/E177*1000,0)</f>
        <v>7481.04956268222</v>
      </c>
      <c r="J177" s="13" t="str">
        <f aca="false">IF(F177&gt;=95,"S",IF(F177&gt;=85,"A",IF(F177&gt;=70,"B",IF(F177&gt;=50,"C","D"))))</f>
        <v>A</v>
      </c>
      <c r="K177" s="14" t="s">
        <v>38</v>
      </c>
      <c r="L177" s="19" t="s">
        <v>33</v>
      </c>
    </row>
    <row r="178" customFormat="false" ht="15" hidden="false" customHeight="false" outlineLevel="0" collapsed="false">
      <c r="A178" s="4" t="s">
        <v>93</v>
      </c>
      <c r="B178" s="27" t="s">
        <v>42</v>
      </c>
      <c r="C178" s="6" t="s">
        <v>16</v>
      </c>
      <c r="D178" s="28" t="n">
        <v>510</v>
      </c>
      <c r="E178" s="29" t="n">
        <v>339000</v>
      </c>
      <c r="F178" s="30" t="n">
        <v>91.1</v>
      </c>
      <c r="G178" s="31" t="n">
        <v>2536</v>
      </c>
      <c r="H178" s="32" t="n">
        <v>129498</v>
      </c>
      <c r="I178" s="33" t="n">
        <f aca="false">IFERROR(G178*1000/E178*1000,0)</f>
        <v>7480.82595870207</v>
      </c>
      <c r="J178" s="13" t="str">
        <f aca="false">IF(F178&gt;=95,"S",IF(F178&gt;=85,"A",IF(F178&gt;=70,"B",IF(F178&gt;=50,"C","D"))))</f>
        <v>A</v>
      </c>
      <c r="K178" s="14" t="s">
        <v>33</v>
      </c>
      <c r="L178" s="16" t="s">
        <v>21</v>
      </c>
    </row>
    <row r="179" customFormat="false" ht="15" hidden="false" customHeight="false" outlineLevel="0" collapsed="false">
      <c r="A179" s="4" t="s">
        <v>93</v>
      </c>
      <c r="B179" s="27" t="s">
        <v>43</v>
      </c>
      <c r="C179" s="6" t="s">
        <v>16</v>
      </c>
      <c r="D179" s="28" t="n">
        <v>495</v>
      </c>
      <c r="E179" s="29" t="n">
        <v>339000</v>
      </c>
      <c r="F179" s="30" t="n">
        <v>94.1</v>
      </c>
      <c r="G179" s="31" t="n">
        <v>2536</v>
      </c>
      <c r="H179" s="32" t="n">
        <v>129498</v>
      </c>
      <c r="I179" s="33" t="n">
        <f aca="false">IFERROR(G179*1000/E179*1000,0)</f>
        <v>7480.82595870207</v>
      </c>
      <c r="J179" s="13" t="str">
        <f aca="false">IF(F179&gt;=95,"S",IF(F179&gt;=85,"A",IF(F179&gt;=70,"B",IF(F179&gt;=50,"C","D"))))</f>
        <v>A</v>
      </c>
      <c r="K179" s="14" t="s">
        <v>35</v>
      </c>
      <c r="L179" s="16" t="s">
        <v>21</v>
      </c>
    </row>
    <row r="180" customFormat="false" ht="15" hidden="false" customHeight="false" outlineLevel="0" collapsed="false">
      <c r="A180" s="4" t="s">
        <v>93</v>
      </c>
      <c r="B180" s="35" t="s">
        <v>45</v>
      </c>
      <c r="C180" s="22" t="s">
        <v>46</v>
      </c>
      <c r="D180" s="28" t="n">
        <v>200</v>
      </c>
      <c r="E180" s="29" t="n">
        <v>129000</v>
      </c>
      <c r="F180" s="30" t="n">
        <v>88.9</v>
      </c>
      <c r="G180" s="31" t="n">
        <v>957</v>
      </c>
      <c r="H180" s="32" t="n">
        <v>38829</v>
      </c>
      <c r="I180" s="33" t="n">
        <f aca="false">IFERROR(G180*1000/E180*1000,0)</f>
        <v>7418.60465116279</v>
      </c>
      <c r="J180" s="13" t="str">
        <f aca="false">IF(F180&gt;=95,"S",IF(F180&gt;=85,"A",IF(F180&gt;=70,"B",IF(F180&gt;=50,"C","D"))))</f>
        <v>A</v>
      </c>
      <c r="K180" s="14" t="s">
        <v>87</v>
      </c>
      <c r="L180" s="20" t="s">
        <v>36</v>
      </c>
    </row>
    <row r="181" customFormat="false" ht="15" hidden="false" customHeight="false" outlineLevel="0" collapsed="false">
      <c r="A181" s="4" t="s">
        <v>93</v>
      </c>
      <c r="B181" s="35" t="s">
        <v>48</v>
      </c>
      <c r="C181" s="22" t="s">
        <v>46</v>
      </c>
      <c r="D181" s="28" t="n">
        <v>220</v>
      </c>
      <c r="E181" s="29" t="n">
        <v>143000</v>
      </c>
      <c r="F181" s="30" t="n">
        <v>89.5</v>
      </c>
      <c r="G181" s="31" t="n">
        <v>1061</v>
      </c>
      <c r="H181" s="32" t="n">
        <v>43043</v>
      </c>
      <c r="I181" s="33" t="n">
        <f aca="false">IFERROR(G181*1000/E181*1000,0)</f>
        <v>7419.58041958042</v>
      </c>
      <c r="J181" s="13" t="str">
        <f aca="false">IF(F181&gt;=95,"S",IF(F181&gt;=85,"A",IF(F181&gt;=70,"B",IF(F181&gt;=50,"C","D"))))</f>
        <v>A</v>
      </c>
      <c r="K181" s="14" t="s">
        <v>49</v>
      </c>
      <c r="L181" s="20" t="s">
        <v>36</v>
      </c>
    </row>
    <row r="182" customFormat="false" ht="15" hidden="false" customHeight="false" outlineLevel="0" collapsed="false">
      <c r="A182" s="4" t="s">
        <v>93</v>
      </c>
      <c r="B182" s="27" t="s">
        <v>50</v>
      </c>
      <c r="C182" s="23" t="s">
        <v>51</v>
      </c>
      <c r="D182" s="28" t="n">
        <v>147</v>
      </c>
      <c r="E182" s="29" t="n">
        <v>29000</v>
      </c>
      <c r="F182" s="30" t="n">
        <v>27.2</v>
      </c>
      <c r="G182" s="31" t="n">
        <v>0</v>
      </c>
      <c r="H182" s="32" t="n">
        <v>0</v>
      </c>
      <c r="I182" s="33" t="n">
        <v>0</v>
      </c>
      <c r="J182" s="13" t="str">
        <f aca="false">IF(F182&gt;=95,"S",IF(F182&gt;=85,"A",IF(F182&gt;=70,"B",IF(F182&gt;=50,"C","D"))))</f>
        <v>D</v>
      </c>
      <c r="K182" s="14" t="s">
        <v>67</v>
      </c>
      <c r="L182" s="17" t="s">
        <v>27</v>
      </c>
    </row>
    <row r="183" customFormat="false" ht="15" hidden="false" customHeight="false" outlineLevel="0" collapsed="false">
      <c r="A183" s="4" t="s">
        <v>93</v>
      </c>
      <c r="B183" s="27" t="s">
        <v>53</v>
      </c>
      <c r="C183" s="23" t="s">
        <v>51</v>
      </c>
      <c r="D183" s="28" t="n">
        <v>320</v>
      </c>
      <c r="E183" s="29" t="n">
        <v>72000</v>
      </c>
      <c r="F183" s="30" t="n">
        <v>31.1</v>
      </c>
      <c r="G183" s="31" t="n">
        <v>0</v>
      </c>
      <c r="H183" s="32" t="n">
        <v>0</v>
      </c>
      <c r="I183" s="33" t="n">
        <v>0</v>
      </c>
      <c r="J183" s="13" t="str">
        <f aca="false">IF(F183&gt;=95,"S",IF(F183&gt;=85,"A",IF(F183&gt;=70,"B",IF(F183&gt;=50,"C","D"))))</f>
        <v>D</v>
      </c>
      <c r="K183" s="14" t="s">
        <v>60</v>
      </c>
      <c r="L183" s="20" t="s">
        <v>36</v>
      </c>
    </row>
    <row r="184" customFormat="false" ht="15" hidden="false" customHeight="false" outlineLevel="0" collapsed="false">
      <c r="A184" s="4" t="s">
        <v>93</v>
      </c>
      <c r="B184" s="27" t="s">
        <v>55</v>
      </c>
      <c r="C184" s="23" t="s">
        <v>51</v>
      </c>
      <c r="D184" s="28" t="n">
        <v>250</v>
      </c>
      <c r="E184" s="29" t="n">
        <v>50000</v>
      </c>
      <c r="F184" s="30" t="n">
        <v>27.7</v>
      </c>
      <c r="G184" s="31" t="n">
        <v>0</v>
      </c>
      <c r="H184" s="32" t="n">
        <v>0</v>
      </c>
      <c r="I184" s="33" t="n">
        <v>0</v>
      </c>
      <c r="J184" s="13" t="str">
        <f aca="false">IF(F184&gt;=95,"S",IF(F184&gt;=85,"A",IF(F184&gt;=70,"B",IF(F184&gt;=50,"C","D"))))</f>
        <v>D</v>
      </c>
      <c r="K184" s="14" t="s">
        <v>52</v>
      </c>
      <c r="L184" s="16" t="s">
        <v>21</v>
      </c>
    </row>
    <row r="185" customFormat="false" ht="15" hidden="false" customHeight="false" outlineLevel="0" collapsed="false">
      <c r="A185" s="4" t="s">
        <v>93</v>
      </c>
      <c r="B185" s="27" t="s">
        <v>57</v>
      </c>
      <c r="C185" s="23" t="s">
        <v>51</v>
      </c>
      <c r="D185" s="28" t="n">
        <v>180</v>
      </c>
      <c r="E185" s="29" t="n">
        <v>36000</v>
      </c>
      <c r="F185" s="30" t="n">
        <v>27.7</v>
      </c>
      <c r="G185" s="31" t="n">
        <v>0</v>
      </c>
      <c r="H185" s="32" t="n">
        <v>0</v>
      </c>
      <c r="I185" s="33" t="n">
        <v>0</v>
      </c>
      <c r="J185" s="13" t="str">
        <f aca="false">IF(F185&gt;=95,"S",IF(F185&gt;=85,"A",IF(F185&gt;=70,"B",IF(F185&gt;=50,"C","D"))))</f>
        <v>D</v>
      </c>
      <c r="K185" s="14" t="s">
        <v>67</v>
      </c>
      <c r="L185" s="16" t="s">
        <v>21</v>
      </c>
    </row>
    <row r="186" customFormat="false" ht="15" hidden="false" customHeight="false" outlineLevel="0" collapsed="false">
      <c r="A186" s="4" t="s">
        <v>93</v>
      </c>
      <c r="B186" s="27" t="s">
        <v>58</v>
      </c>
      <c r="C186" s="23" t="s">
        <v>51</v>
      </c>
      <c r="D186" s="28" t="n">
        <v>95</v>
      </c>
      <c r="E186" s="29" t="n">
        <v>18000</v>
      </c>
      <c r="F186" s="30" t="n">
        <v>26.6</v>
      </c>
      <c r="G186" s="31" t="n">
        <v>0</v>
      </c>
      <c r="H186" s="32" t="n">
        <v>0</v>
      </c>
      <c r="I186" s="33" t="n">
        <v>0</v>
      </c>
      <c r="J186" s="13" t="str">
        <f aca="false">IF(F186&gt;=95,"S",IF(F186&gt;=85,"A",IF(F186&gt;=70,"B",IF(F186&gt;=50,"C","D"))))</f>
        <v>D</v>
      </c>
      <c r="K186" s="14" t="s">
        <v>88</v>
      </c>
      <c r="L186" s="16" t="s">
        <v>21</v>
      </c>
    </row>
    <row r="187" customFormat="false" ht="15" hidden="false" customHeight="false" outlineLevel="0" collapsed="false">
      <c r="A187" s="4" t="s">
        <v>93</v>
      </c>
      <c r="B187" s="27" t="s">
        <v>59</v>
      </c>
      <c r="C187" s="23" t="s">
        <v>51</v>
      </c>
      <c r="D187" s="28" t="n">
        <v>32</v>
      </c>
      <c r="E187" s="29" t="n">
        <v>3000</v>
      </c>
      <c r="F187" s="30" t="n">
        <v>16.7</v>
      </c>
      <c r="G187" s="31" t="n">
        <v>0</v>
      </c>
      <c r="H187" s="32" t="n">
        <v>0</v>
      </c>
      <c r="I187" s="33" t="n">
        <v>0</v>
      </c>
      <c r="J187" s="13" t="str">
        <f aca="false">IF(F187&gt;=95,"S",IF(F187&gt;=85,"A",IF(F187&gt;=70,"B",IF(F187&gt;=50,"C","D"))))</f>
        <v>D</v>
      </c>
      <c r="K187" s="14" t="s">
        <v>60</v>
      </c>
      <c r="L187" s="15" t="s">
        <v>18</v>
      </c>
    </row>
    <row r="188" customFormat="false" ht="15" hidden="false" customHeight="false" outlineLevel="0" collapsed="false">
      <c r="A188" s="4" t="s">
        <v>93</v>
      </c>
      <c r="B188" s="27" t="s">
        <v>61</v>
      </c>
      <c r="C188" s="23" t="s">
        <v>51</v>
      </c>
      <c r="D188" s="28" t="n">
        <v>220</v>
      </c>
      <c r="E188" s="29" t="n">
        <v>30000</v>
      </c>
      <c r="F188" s="30" t="n">
        <v>19</v>
      </c>
      <c r="G188" s="31" t="n">
        <v>0</v>
      </c>
      <c r="H188" s="32" t="n">
        <v>0</v>
      </c>
      <c r="I188" s="33" t="n">
        <v>0</v>
      </c>
      <c r="J188" s="13" t="str">
        <f aca="false">IF(F188&gt;=95,"S",IF(F188&gt;=85,"A",IF(F188&gt;=70,"B",IF(F188&gt;=50,"C","D"))))</f>
        <v>D</v>
      </c>
      <c r="K188" s="14" t="s">
        <v>88</v>
      </c>
      <c r="L188" s="16" t="s">
        <v>21</v>
      </c>
    </row>
    <row r="189" customFormat="false" ht="15" hidden="false" customHeight="false" outlineLevel="0" collapsed="false">
      <c r="A189" s="4" t="s">
        <v>93</v>
      </c>
      <c r="B189" s="27" t="s">
        <v>62</v>
      </c>
      <c r="C189" s="23" t="s">
        <v>51</v>
      </c>
      <c r="D189" s="28" t="n">
        <v>85</v>
      </c>
      <c r="E189" s="29" t="n">
        <v>11000</v>
      </c>
      <c r="F189" s="30" t="n">
        <v>18</v>
      </c>
      <c r="G189" s="31" t="n">
        <v>0</v>
      </c>
      <c r="H189" s="32" t="n">
        <v>0</v>
      </c>
      <c r="I189" s="33" t="n">
        <v>0</v>
      </c>
      <c r="J189" s="13" t="str">
        <f aca="false">IF(F189&gt;=95,"S",IF(F189&gt;=85,"A",IF(F189&gt;=70,"B",IF(F189&gt;=50,"C","D"))))</f>
        <v>D</v>
      </c>
      <c r="K189" s="14" t="s">
        <v>63</v>
      </c>
      <c r="L189" s="20" t="s">
        <v>36</v>
      </c>
    </row>
    <row r="190" customFormat="false" ht="15" hidden="false" customHeight="false" outlineLevel="0" collapsed="false">
      <c r="A190" s="4" t="s">
        <v>93</v>
      </c>
      <c r="B190" s="27" t="s">
        <v>64</v>
      </c>
      <c r="C190" s="23" t="s">
        <v>51</v>
      </c>
      <c r="D190" s="28" t="n">
        <v>60</v>
      </c>
      <c r="E190" s="29" t="n">
        <v>6000</v>
      </c>
      <c r="F190" s="30" t="n">
        <v>15.1</v>
      </c>
      <c r="G190" s="31" t="n">
        <v>0</v>
      </c>
      <c r="H190" s="32" t="n">
        <v>0</v>
      </c>
      <c r="I190" s="33" t="n">
        <v>0</v>
      </c>
      <c r="J190" s="13" t="str">
        <f aca="false">IF(F190&gt;=95,"S",IF(F190&gt;=85,"A",IF(F190&gt;=70,"B",IF(F190&gt;=50,"C","D"))))</f>
        <v>D</v>
      </c>
      <c r="K190" s="14" t="s">
        <v>82</v>
      </c>
      <c r="L190" s="20" t="s">
        <v>36</v>
      </c>
    </row>
    <row r="191" customFormat="false" ht="15" hidden="false" customHeight="false" outlineLevel="0" collapsed="false">
      <c r="A191" s="4" t="s">
        <v>93</v>
      </c>
      <c r="B191" s="27" t="s">
        <v>66</v>
      </c>
      <c r="C191" s="23" t="s">
        <v>51</v>
      </c>
      <c r="D191" s="28" t="n">
        <v>75</v>
      </c>
      <c r="E191" s="29" t="n">
        <v>9000</v>
      </c>
      <c r="F191" s="30" t="n">
        <v>16.7</v>
      </c>
      <c r="G191" s="31" t="n">
        <v>0</v>
      </c>
      <c r="H191" s="32" t="n">
        <v>0</v>
      </c>
      <c r="I191" s="33" t="n">
        <v>0</v>
      </c>
      <c r="J191" s="13" t="str">
        <f aca="false">IF(F191&gt;=95,"S",IF(F191&gt;=85,"A",IF(F191&gt;=70,"B",IF(F191&gt;=50,"C","D"))))</f>
        <v>D</v>
      </c>
      <c r="K191" s="14" t="s">
        <v>67</v>
      </c>
      <c r="L191" s="15" t="s">
        <v>18</v>
      </c>
    </row>
    <row r="192" customFormat="false" ht="15" hidden="false" customHeight="false" outlineLevel="0" collapsed="false">
      <c r="A192" s="4" t="s">
        <v>93</v>
      </c>
      <c r="B192" s="27" t="s">
        <v>68</v>
      </c>
      <c r="C192" s="25" t="s">
        <v>69</v>
      </c>
      <c r="D192" s="28" t="n">
        <v>460</v>
      </c>
      <c r="E192" s="29" t="n">
        <v>280000</v>
      </c>
      <c r="F192" s="30" t="n">
        <v>83.5</v>
      </c>
      <c r="G192" s="31" t="n">
        <v>1918</v>
      </c>
      <c r="H192" s="32" t="n">
        <v>74200</v>
      </c>
      <c r="I192" s="33" t="n">
        <f aca="false">IFERROR(G192*1000/E192*1000,0)</f>
        <v>6850</v>
      </c>
      <c r="J192" s="13" t="str">
        <f aca="false">IF(F192&gt;=95,"S",IF(F192&gt;=85,"A",IF(F192&gt;=70,"B",IF(F192&gt;=50,"C","D"))))</f>
        <v>B</v>
      </c>
      <c r="K192" s="14" t="s">
        <v>94</v>
      </c>
      <c r="L192" s="16" t="s">
        <v>21</v>
      </c>
    </row>
    <row r="193" customFormat="false" ht="15" hidden="false" customHeight="false" outlineLevel="0" collapsed="false">
      <c r="A193" s="4" t="s">
        <v>93</v>
      </c>
      <c r="B193" s="27" t="s">
        <v>71</v>
      </c>
      <c r="C193" s="25" t="s">
        <v>69</v>
      </c>
      <c r="D193" s="28" t="n">
        <v>460</v>
      </c>
      <c r="E193" s="29" t="n">
        <v>283000</v>
      </c>
      <c r="F193" s="30" t="n">
        <v>84.4</v>
      </c>
      <c r="G193" s="31" t="n">
        <v>1939</v>
      </c>
      <c r="H193" s="32" t="n">
        <v>74995</v>
      </c>
      <c r="I193" s="33" t="n">
        <f aca="false">IFERROR(G193*1000/E193*1000,0)</f>
        <v>6851.59010600707</v>
      </c>
      <c r="J193" s="13" t="str">
        <f aca="false">IF(F193&gt;=95,"S",IF(F193&gt;=85,"A",IF(F193&gt;=70,"B",IF(F193&gt;=50,"C","D"))))</f>
        <v>B</v>
      </c>
      <c r="K193" s="14" t="s">
        <v>83</v>
      </c>
      <c r="L193" s="20" t="s">
        <v>36</v>
      </c>
    </row>
    <row r="194" customFormat="false" ht="15" hidden="false" customHeight="false" outlineLevel="0" collapsed="false">
      <c r="A194" s="4" t="s">
        <v>93</v>
      </c>
      <c r="B194" s="27" t="s">
        <v>73</v>
      </c>
      <c r="C194" s="26" t="s">
        <v>74</v>
      </c>
      <c r="D194" s="28" t="n">
        <v>80</v>
      </c>
      <c r="E194" s="29" t="n">
        <v>25000</v>
      </c>
      <c r="F194" s="30" t="n">
        <v>43.3</v>
      </c>
      <c r="G194" s="31" t="n">
        <v>0</v>
      </c>
      <c r="H194" s="32" t="n">
        <v>0</v>
      </c>
      <c r="I194" s="33" t="n">
        <v>0</v>
      </c>
      <c r="J194" s="13" t="str">
        <f aca="false">IF(F194&gt;=95,"S",IF(F194&gt;=85,"A",IF(F194&gt;=70,"B",IF(F194&gt;=50,"C","D"))))</f>
        <v>D</v>
      </c>
      <c r="K194" s="14" t="s">
        <v>84</v>
      </c>
      <c r="L194" s="16" t="s">
        <v>21</v>
      </c>
    </row>
    <row r="195" customFormat="false" ht="15" hidden="false" customHeight="false" outlineLevel="0" collapsed="false">
      <c r="A195" s="4" t="s">
        <v>93</v>
      </c>
      <c r="B195" s="27" t="s">
        <v>76</v>
      </c>
      <c r="C195" s="26" t="s">
        <v>74</v>
      </c>
      <c r="D195" s="28" t="n">
        <v>80</v>
      </c>
      <c r="E195" s="29" t="n">
        <v>24000</v>
      </c>
      <c r="F195" s="30" t="n">
        <v>41.6</v>
      </c>
      <c r="G195" s="31" t="n">
        <v>0</v>
      </c>
      <c r="H195" s="32" t="n">
        <v>0</v>
      </c>
      <c r="I195" s="33" t="n">
        <v>0</v>
      </c>
      <c r="J195" s="13" t="str">
        <f aca="false">IF(F195&gt;=95,"S",IF(F195&gt;=85,"A",IF(F195&gt;=70,"B",IF(F195&gt;=50,"C","D"))))</f>
        <v>D</v>
      </c>
      <c r="K195" s="24" t="s">
        <v>79</v>
      </c>
      <c r="L195" s="16" t="s">
        <v>21</v>
      </c>
    </row>
    <row r="196" customFormat="false" ht="15" hidden="false" customHeight="false" outlineLevel="0" collapsed="false">
      <c r="A196" s="4" t="s">
        <v>93</v>
      </c>
      <c r="B196" s="27" t="s">
        <v>78</v>
      </c>
      <c r="C196" s="26" t="s">
        <v>74</v>
      </c>
      <c r="D196" s="28" t="n">
        <v>100</v>
      </c>
      <c r="E196" s="29" t="n">
        <v>28000</v>
      </c>
      <c r="F196" s="30" t="n">
        <v>39.2</v>
      </c>
      <c r="G196" s="31" t="n">
        <v>0</v>
      </c>
      <c r="H196" s="32" t="n">
        <v>0</v>
      </c>
      <c r="I196" s="33" t="n">
        <v>0</v>
      </c>
      <c r="J196" s="13" t="str">
        <f aca="false">IF(F196&gt;=95,"S",IF(F196&gt;=85,"A",IF(F196&gt;=70,"B",IF(F196&gt;=50,"C","D"))))</f>
        <v>D</v>
      </c>
      <c r="K196" s="14" t="s">
        <v>75</v>
      </c>
      <c r="L196" s="20" t="s">
        <v>36</v>
      </c>
    </row>
    <row r="197" customFormat="false" ht="15" hidden="false" customHeight="false" outlineLevel="0" collapsed="false">
      <c r="A197" s="4" t="s">
        <v>95</v>
      </c>
      <c r="B197" s="5" t="s">
        <v>15</v>
      </c>
      <c r="C197" s="6" t="s">
        <v>16</v>
      </c>
      <c r="D197" s="7" t="n">
        <v>500</v>
      </c>
      <c r="E197" s="8" t="n">
        <v>375000</v>
      </c>
      <c r="F197" s="9" t="n">
        <v>103</v>
      </c>
      <c r="G197" s="10" t="n">
        <v>2805</v>
      </c>
      <c r="H197" s="11" t="n">
        <v>143250</v>
      </c>
      <c r="I197" s="12" t="n">
        <f aca="false">IFERROR(G197*1000/E197*1000,0)</f>
        <v>7480</v>
      </c>
      <c r="J197" s="13" t="str">
        <f aca="false">IF(F197&gt;=95,"S",IF(F197&gt;=85,"A",IF(F197&gt;=70,"B",IF(F197&gt;=50,"C","D"))))</f>
        <v>S</v>
      </c>
      <c r="K197" s="14" t="s">
        <v>26</v>
      </c>
      <c r="L197" s="19" t="s">
        <v>33</v>
      </c>
    </row>
    <row r="198" customFormat="false" ht="15" hidden="false" customHeight="false" outlineLevel="0" collapsed="false">
      <c r="A198" s="4" t="s">
        <v>95</v>
      </c>
      <c r="B198" s="5" t="s">
        <v>19</v>
      </c>
      <c r="C198" s="6" t="s">
        <v>16</v>
      </c>
      <c r="D198" s="7" t="n">
        <v>500</v>
      </c>
      <c r="E198" s="8" t="n">
        <v>361000</v>
      </c>
      <c r="F198" s="9" t="n">
        <v>99</v>
      </c>
      <c r="G198" s="10" t="n">
        <v>2700</v>
      </c>
      <c r="H198" s="11" t="n">
        <v>137902</v>
      </c>
      <c r="I198" s="12" t="n">
        <f aca="false">IFERROR(G198*1000/E198*1000,0)</f>
        <v>7479.2243767313</v>
      </c>
      <c r="J198" s="13" t="str">
        <f aca="false">IF(F198&gt;=95,"S",IF(F198&gt;=85,"A",IF(F198&gt;=70,"B",IF(F198&gt;=50,"C","D"))))</f>
        <v>S</v>
      </c>
      <c r="K198" s="18"/>
      <c r="L198" s="16" t="s">
        <v>21</v>
      </c>
    </row>
    <row r="199" customFormat="false" ht="15" hidden="false" customHeight="false" outlineLevel="0" collapsed="false">
      <c r="A199" s="4" t="s">
        <v>95</v>
      </c>
      <c r="B199" s="5" t="s">
        <v>22</v>
      </c>
      <c r="C199" s="6" t="s">
        <v>16</v>
      </c>
      <c r="D199" s="7" t="n">
        <v>512</v>
      </c>
      <c r="E199" s="8" t="n">
        <v>378000</v>
      </c>
      <c r="F199" s="9" t="n">
        <v>101.4</v>
      </c>
      <c r="G199" s="10" t="n">
        <v>2827</v>
      </c>
      <c r="H199" s="11" t="n">
        <v>144396</v>
      </c>
      <c r="I199" s="12" t="n">
        <f aca="false">IFERROR(G199*1000/E199*1000,0)</f>
        <v>7478.83597883598</v>
      </c>
      <c r="J199" s="13" t="str">
        <f aca="false">IF(F199&gt;=95,"S",IF(F199&gt;=85,"A",IF(F199&gt;=70,"B",IF(F199&gt;=50,"C","D"))))</f>
        <v>S</v>
      </c>
      <c r="K199" s="14" t="s">
        <v>32</v>
      </c>
      <c r="L199" s="16" t="s">
        <v>21</v>
      </c>
    </row>
    <row r="200" customFormat="false" ht="15" hidden="false" customHeight="false" outlineLevel="0" collapsed="false">
      <c r="A200" s="4" t="s">
        <v>95</v>
      </c>
      <c r="B200" s="5" t="s">
        <v>24</v>
      </c>
      <c r="C200" s="6" t="s">
        <v>16</v>
      </c>
      <c r="D200" s="7" t="n">
        <v>500</v>
      </c>
      <c r="E200" s="8" t="n">
        <v>361000</v>
      </c>
      <c r="F200" s="9" t="n">
        <v>98.9</v>
      </c>
      <c r="G200" s="10" t="n">
        <v>2700</v>
      </c>
      <c r="H200" s="11" t="n">
        <v>137902</v>
      </c>
      <c r="I200" s="12" t="n">
        <f aca="false">IFERROR(G200*1000/E200*1000,0)</f>
        <v>7479.2243767313</v>
      </c>
      <c r="J200" s="13" t="str">
        <f aca="false">IF(F200&gt;=95,"S",IF(F200&gt;=85,"A",IF(F200&gt;=70,"B",IF(F200&gt;=50,"C","D"))))</f>
        <v>S</v>
      </c>
      <c r="K200" s="14" t="s">
        <v>35</v>
      </c>
      <c r="L200" s="19" t="s">
        <v>33</v>
      </c>
    </row>
    <row r="201" customFormat="false" ht="15" hidden="false" customHeight="false" outlineLevel="0" collapsed="false">
      <c r="A201" s="4" t="s">
        <v>95</v>
      </c>
      <c r="B201" s="5" t="s">
        <v>25</v>
      </c>
      <c r="C201" s="6" t="s">
        <v>16</v>
      </c>
      <c r="D201" s="7" t="n">
        <v>500</v>
      </c>
      <c r="E201" s="8" t="n">
        <v>366000</v>
      </c>
      <c r="F201" s="9" t="n">
        <v>100.4</v>
      </c>
      <c r="G201" s="10" t="n">
        <v>2738</v>
      </c>
      <c r="H201" s="11" t="n">
        <v>139812</v>
      </c>
      <c r="I201" s="12" t="n">
        <f aca="false">IFERROR(G201*1000/E201*1000,0)</f>
        <v>7480.87431693989</v>
      </c>
      <c r="J201" s="13" t="str">
        <f aca="false">IF(F201&gt;=95,"S",IF(F201&gt;=85,"A",IF(F201&gt;=70,"B",IF(F201&gt;=50,"C","D"))))</f>
        <v>S</v>
      </c>
      <c r="K201" s="14" t="s">
        <v>23</v>
      </c>
      <c r="L201" s="16" t="s">
        <v>21</v>
      </c>
    </row>
    <row r="202" customFormat="false" ht="15" hidden="false" customHeight="false" outlineLevel="0" collapsed="false">
      <c r="A202" s="4" t="s">
        <v>95</v>
      </c>
      <c r="B202" s="5" t="s">
        <v>28</v>
      </c>
      <c r="C202" s="6" t="s">
        <v>16</v>
      </c>
      <c r="D202" s="7" t="n">
        <v>480</v>
      </c>
      <c r="E202" s="8" t="n">
        <v>339000</v>
      </c>
      <c r="F202" s="9" t="n">
        <v>96.9</v>
      </c>
      <c r="G202" s="10" t="n">
        <v>2536</v>
      </c>
      <c r="H202" s="11" t="n">
        <v>129498</v>
      </c>
      <c r="I202" s="12" t="n">
        <f aca="false">IFERROR(G202*1000/E202*1000,0)</f>
        <v>7480.82595870207</v>
      </c>
      <c r="J202" s="13" t="str">
        <f aca="false">IF(F202&gt;=95,"S",IF(F202&gt;=85,"A",IF(F202&gt;=70,"B",IF(F202&gt;=50,"C","D"))))</f>
        <v>S</v>
      </c>
      <c r="K202" s="14" t="s">
        <v>44</v>
      </c>
      <c r="L202" s="16" t="s">
        <v>21</v>
      </c>
    </row>
    <row r="203" customFormat="false" ht="15" hidden="false" customHeight="false" outlineLevel="0" collapsed="false">
      <c r="A203" s="4" t="s">
        <v>95</v>
      </c>
      <c r="B203" s="5" t="s">
        <v>29</v>
      </c>
      <c r="C203" s="6" t="s">
        <v>16</v>
      </c>
      <c r="D203" s="7" t="n">
        <v>480</v>
      </c>
      <c r="E203" s="8" t="n">
        <v>352000</v>
      </c>
      <c r="F203" s="9" t="n">
        <v>100.6</v>
      </c>
      <c r="G203" s="10" t="n">
        <v>2633</v>
      </c>
      <c r="H203" s="11" t="n">
        <v>134464</v>
      </c>
      <c r="I203" s="12" t="n">
        <f aca="false">IFERROR(G203*1000/E203*1000,0)</f>
        <v>7480.11363636364</v>
      </c>
      <c r="J203" s="13" t="str">
        <f aca="false">IF(F203&gt;=95,"S",IF(F203&gt;=85,"A",IF(F203&gt;=70,"B",IF(F203&gt;=50,"C","D"))))</f>
        <v>S</v>
      </c>
      <c r="K203" s="18"/>
      <c r="L203" s="16" t="s">
        <v>21</v>
      </c>
    </row>
    <row r="204" customFormat="false" ht="15" hidden="false" customHeight="false" outlineLevel="0" collapsed="false">
      <c r="A204" s="4" t="s">
        <v>95</v>
      </c>
      <c r="B204" s="5" t="s">
        <v>31</v>
      </c>
      <c r="C204" s="6" t="s">
        <v>16</v>
      </c>
      <c r="D204" s="7" t="n">
        <v>495</v>
      </c>
      <c r="E204" s="8" t="n">
        <v>352000</v>
      </c>
      <c r="F204" s="9" t="n">
        <v>97.5</v>
      </c>
      <c r="G204" s="10" t="n">
        <v>2633</v>
      </c>
      <c r="H204" s="11" t="n">
        <v>134464</v>
      </c>
      <c r="I204" s="12" t="n">
        <f aca="false">IFERROR(G204*1000/E204*1000,0)</f>
        <v>7480.11363636364</v>
      </c>
      <c r="J204" s="13" t="str">
        <f aca="false">IF(F204&gt;=95,"S",IF(F204&gt;=85,"A",IF(F204&gt;=70,"B",IF(F204&gt;=50,"C","D"))))</f>
        <v>S</v>
      </c>
      <c r="K204" s="14" t="s">
        <v>35</v>
      </c>
      <c r="L204" s="19" t="s">
        <v>33</v>
      </c>
    </row>
    <row r="205" customFormat="false" ht="15" hidden="false" customHeight="false" outlineLevel="0" collapsed="false">
      <c r="A205" s="4" t="s">
        <v>95</v>
      </c>
      <c r="B205" s="5" t="s">
        <v>34</v>
      </c>
      <c r="C205" s="6" t="s">
        <v>16</v>
      </c>
      <c r="D205" s="7" t="n">
        <v>500</v>
      </c>
      <c r="E205" s="8" t="n">
        <v>357000</v>
      </c>
      <c r="F205" s="9" t="n">
        <v>97.9</v>
      </c>
      <c r="G205" s="10" t="n">
        <v>2670</v>
      </c>
      <c r="H205" s="11" t="n">
        <v>136374</v>
      </c>
      <c r="I205" s="12" t="n">
        <f aca="false">IFERROR(G205*1000/E205*1000,0)</f>
        <v>7478.99159663866</v>
      </c>
      <c r="J205" s="13" t="str">
        <f aca="false">IF(F205&gt;=95,"S",IF(F205&gt;=85,"A",IF(F205&gt;=70,"B",IF(F205&gt;=50,"C","D"))))</f>
        <v>S</v>
      </c>
      <c r="K205" s="14" t="s">
        <v>32</v>
      </c>
      <c r="L205" s="16" t="s">
        <v>21</v>
      </c>
    </row>
    <row r="206" customFormat="false" ht="15" hidden="false" customHeight="false" outlineLevel="0" collapsed="false">
      <c r="A206" s="4" t="s">
        <v>95</v>
      </c>
      <c r="B206" s="5" t="s">
        <v>37</v>
      </c>
      <c r="C206" s="6" t="s">
        <v>16</v>
      </c>
      <c r="D206" s="7" t="n">
        <v>520</v>
      </c>
      <c r="E206" s="8" t="n">
        <v>386000</v>
      </c>
      <c r="F206" s="9" t="n">
        <v>101.9</v>
      </c>
      <c r="G206" s="10" t="n">
        <v>2887</v>
      </c>
      <c r="H206" s="11" t="n">
        <v>147452</v>
      </c>
      <c r="I206" s="12" t="n">
        <f aca="false">IFERROR(G206*1000/E206*1000,0)</f>
        <v>7479.27461139896</v>
      </c>
      <c r="J206" s="13" t="str">
        <f aca="false">IF(F206&gt;=95,"S",IF(F206&gt;=85,"A",IF(F206&gt;=70,"B",IF(F206&gt;=50,"C","D"))))</f>
        <v>S</v>
      </c>
      <c r="K206" s="14" t="s">
        <v>20</v>
      </c>
      <c r="L206" s="17" t="s">
        <v>27</v>
      </c>
    </row>
    <row r="207" customFormat="false" ht="15" hidden="false" customHeight="false" outlineLevel="0" collapsed="false">
      <c r="A207" s="4" t="s">
        <v>95</v>
      </c>
      <c r="B207" s="5" t="s">
        <v>39</v>
      </c>
      <c r="C207" s="6" t="s">
        <v>16</v>
      </c>
      <c r="D207" s="7" t="n">
        <v>520</v>
      </c>
      <c r="E207" s="8" t="n">
        <v>378000</v>
      </c>
      <c r="F207" s="9" t="n">
        <v>99.6</v>
      </c>
      <c r="G207" s="10" t="n">
        <v>2827</v>
      </c>
      <c r="H207" s="11" t="n">
        <v>144396</v>
      </c>
      <c r="I207" s="12" t="n">
        <f aca="false">IFERROR(G207*1000/E207*1000,0)</f>
        <v>7478.83597883598</v>
      </c>
      <c r="J207" s="13" t="str">
        <f aca="false">IF(F207&gt;=95,"S",IF(F207&gt;=85,"A",IF(F207&gt;=70,"B",IF(F207&gt;=50,"C","D"))))</f>
        <v>S</v>
      </c>
      <c r="K207" s="14" t="s">
        <v>17</v>
      </c>
      <c r="L207" s="17" t="s">
        <v>27</v>
      </c>
    </row>
    <row r="208" customFormat="false" ht="15" hidden="false" customHeight="false" outlineLevel="0" collapsed="false">
      <c r="A208" s="4" t="s">
        <v>95</v>
      </c>
      <c r="B208" s="5" t="s">
        <v>40</v>
      </c>
      <c r="C208" s="6" t="s">
        <v>16</v>
      </c>
      <c r="D208" s="7" t="n">
        <v>530</v>
      </c>
      <c r="E208" s="8" t="n">
        <v>389000</v>
      </c>
      <c r="F208" s="9" t="n">
        <v>100.8</v>
      </c>
      <c r="G208" s="10" t="n">
        <v>2910</v>
      </c>
      <c r="H208" s="11" t="n">
        <v>148598</v>
      </c>
      <c r="I208" s="12" t="n">
        <f aca="false">IFERROR(G208*1000/E208*1000,0)</f>
        <v>7480.71979434447</v>
      </c>
      <c r="J208" s="13" t="str">
        <f aca="false">IF(F208&gt;=95,"S",IF(F208&gt;=85,"A",IF(F208&gt;=70,"B",IF(F208&gt;=50,"C","D"))))</f>
        <v>S</v>
      </c>
      <c r="K208" s="14" t="s">
        <v>20</v>
      </c>
      <c r="L208" s="16" t="s">
        <v>21</v>
      </c>
    </row>
    <row r="209" customFormat="false" ht="15" hidden="false" customHeight="false" outlineLevel="0" collapsed="false">
      <c r="A209" s="4" t="s">
        <v>95</v>
      </c>
      <c r="B209" s="5" t="s">
        <v>41</v>
      </c>
      <c r="C209" s="6" t="s">
        <v>16</v>
      </c>
      <c r="D209" s="7" t="n">
        <v>510</v>
      </c>
      <c r="E209" s="8" t="n">
        <v>366000</v>
      </c>
      <c r="F209" s="9" t="n">
        <v>98.5</v>
      </c>
      <c r="G209" s="10" t="n">
        <v>2738</v>
      </c>
      <c r="H209" s="11" t="n">
        <v>139812</v>
      </c>
      <c r="I209" s="12" t="n">
        <f aca="false">IFERROR(G209*1000/E209*1000,0)</f>
        <v>7480.87431693989</v>
      </c>
      <c r="J209" s="13" t="str">
        <f aca="false">IF(F209&gt;=95,"S",IF(F209&gt;=85,"A",IF(F209&gt;=70,"B",IF(F209&gt;=50,"C","D"))))</f>
        <v>S</v>
      </c>
      <c r="K209" s="14" t="s">
        <v>86</v>
      </c>
      <c r="L209" s="16" t="s">
        <v>21</v>
      </c>
    </row>
    <row r="210" customFormat="false" ht="15" hidden="false" customHeight="false" outlineLevel="0" collapsed="false">
      <c r="A210" s="4" t="s">
        <v>95</v>
      </c>
      <c r="B210" s="5" t="s">
        <v>42</v>
      </c>
      <c r="C210" s="6" t="s">
        <v>16</v>
      </c>
      <c r="D210" s="7" t="n">
        <v>510</v>
      </c>
      <c r="E210" s="8" t="n">
        <v>364000</v>
      </c>
      <c r="F210" s="9" t="n">
        <v>97.8</v>
      </c>
      <c r="G210" s="10" t="n">
        <v>2723</v>
      </c>
      <c r="H210" s="11" t="n">
        <v>139048</v>
      </c>
      <c r="I210" s="12" t="n">
        <f aca="false">IFERROR(G210*1000/E210*1000,0)</f>
        <v>7480.76923076923</v>
      </c>
      <c r="J210" s="13" t="str">
        <f aca="false">IF(F210&gt;=95,"S",IF(F210&gt;=85,"A",IF(F210&gt;=70,"B",IF(F210&gt;=50,"C","D"))))</f>
        <v>S</v>
      </c>
      <c r="K210" s="14" t="s">
        <v>44</v>
      </c>
      <c r="L210" s="15" t="s">
        <v>18</v>
      </c>
    </row>
    <row r="211" customFormat="false" ht="15" hidden="false" customHeight="false" outlineLevel="0" collapsed="false">
      <c r="A211" s="4" t="s">
        <v>95</v>
      </c>
      <c r="B211" s="5" t="s">
        <v>43</v>
      </c>
      <c r="C211" s="6" t="s">
        <v>16</v>
      </c>
      <c r="D211" s="7" t="n">
        <v>495</v>
      </c>
      <c r="E211" s="8" t="n">
        <v>376000</v>
      </c>
      <c r="F211" s="9" t="n">
        <v>104.2</v>
      </c>
      <c r="G211" s="10" t="n">
        <v>2812</v>
      </c>
      <c r="H211" s="11" t="n">
        <v>143632</v>
      </c>
      <c r="I211" s="12" t="n">
        <f aca="false">IFERROR(G211*1000/E211*1000,0)</f>
        <v>7478.72340425532</v>
      </c>
      <c r="J211" s="13" t="str">
        <f aca="false">IF(F211&gt;=95,"S",IF(F211&gt;=85,"A",IF(F211&gt;=70,"B",IF(F211&gt;=50,"C","D"))))</f>
        <v>S</v>
      </c>
      <c r="K211" s="14" t="s">
        <v>26</v>
      </c>
      <c r="L211" s="16" t="s">
        <v>21</v>
      </c>
    </row>
    <row r="212" customFormat="false" ht="15" hidden="false" customHeight="false" outlineLevel="0" collapsed="false">
      <c r="A212" s="4" t="s">
        <v>95</v>
      </c>
      <c r="B212" s="21" t="s">
        <v>45</v>
      </c>
      <c r="C212" s="22" t="s">
        <v>46</v>
      </c>
      <c r="D212" s="7" t="n">
        <v>200</v>
      </c>
      <c r="E212" s="8" t="n">
        <v>125000</v>
      </c>
      <c r="F212" s="9" t="n">
        <v>86</v>
      </c>
      <c r="G212" s="10" t="n">
        <v>928</v>
      </c>
      <c r="H212" s="11" t="n">
        <v>37625</v>
      </c>
      <c r="I212" s="12" t="n">
        <f aca="false">IFERROR(G212*1000/E212*1000,0)</f>
        <v>7424</v>
      </c>
      <c r="J212" s="13" t="str">
        <f aca="false">IF(F212&gt;=95,"S",IF(F212&gt;=85,"A",IF(F212&gt;=70,"B",IF(F212&gt;=50,"C","D"))))</f>
        <v>A</v>
      </c>
      <c r="K212" s="14" t="s">
        <v>87</v>
      </c>
      <c r="L212" s="17" t="s">
        <v>27</v>
      </c>
    </row>
    <row r="213" customFormat="false" ht="15" hidden="false" customHeight="false" outlineLevel="0" collapsed="false">
      <c r="A213" s="4" t="s">
        <v>95</v>
      </c>
      <c r="B213" s="21" t="s">
        <v>48</v>
      </c>
      <c r="C213" s="22" t="s">
        <v>46</v>
      </c>
      <c r="D213" s="7" t="n">
        <v>220</v>
      </c>
      <c r="E213" s="8" t="n">
        <v>139000</v>
      </c>
      <c r="F213" s="9" t="n">
        <v>87</v>
      </c>
      <c r="G213" s="10" t="n">
        <v>1031</v>
      </c>
      <c r="H213" s="11" t="n">
        <v>41839</v>
      </c>
      <c r="I213" s="12" t="n">
        <f aca="false">IFERROR(G213*1000/E213*1000,0)</f>
        <v>7417.26618705036</v>
      </c>
      <c r="J213" s="13" t="str">
        <f aca="false">IF(F213&gt;=95,"S",IF(F213&gt;=85,"A",IF(F213&gt;=70,"B",IF(F213&gt;=50,"C","D"))))</f>
        <v>A</v>
      </c>
      <c r="K213" s="14" t="s">
        <v>47</v>
      </c>
      <c r="L213" s="16" t="s">
        <v>21</v>
      </c>
    </row>
    <row r="214" customFormat="false" ht="15" hidden="false" customHeight="false" outlineLevel="0" collapsed="false">
      <c r="A214" s="4" t="s">
        <v>95</v>
      </c>
      <c r="B214" s="5" t="s">
        <v>50</v>
      </c>
      <c r="C214" s="23" t="s">
        <v>51</v>
      </c>
      <c r="D214" s="7" t="n">
        <v>147</v>
      </c>
      <c r="E214" s="8" t="n">
        <v>29000</v>
      </c>
      <c r="F214" s="9" t="n">
        <v>27.8</v>
      </c>
      <c r="G214" s="10" t="n">
        <v>0</v>
      </c>
      <c r="H214" s="11" t="n">
        <v>0</v>
      </c>
      <c r="I214" s="12" t="n">
        <v>0</v>
      </c>
      <c r="J214" s="13" t="str">
        <f aca="false">IF(F214&gt;=95,"S",IF(F214&gt;=85,"A",IF(F214&gt;=70,"B",IF(F214&gt;=50,"C","D"))))</f>
        <v>D</v>
      </c>
      <c r="K214" s="18"/>
      <c r="L214" s="19" t="s">
        <v>33</v>
      </c>
    </row>
    <row r="215" customFormat="false" ht="15" hidden="false" customHeight="false" outlineLevel="0" collapsed="false">
      <c r="A215" s="4" t="s">
        <v>95</v>
      </c>
      <c r="B215" s="5" t="s">
        <v>53</v>
      </c>
      <c r="C215" s="23" t="s">
        <v>51</v>
      </c>
      <c r="D215" s="7" t="n">
        <v>320</v>
      </c>
      <c r="E215" s="8" t="n">
        <v>52000</v>
      </c>
      <c r="F215" s="9" t="n">
        <v>22.4</v>
      </c>
      <c r="G215" s="10" t="n">
        <v>0</v>
      </c>
      <c r="H215" s="11" t="n">
        <v>0</v>
      </c>
      <c r="I215" s="12" t="n">
        <v>0</v>
      </c>
      <c r="J215" s="13" t="str">
        <f aca="false">IF(F215&gt;=95,"S",IF(F215&gt;=85,"A",IF(F215&gt;=70,"B",IF(F215&gt;=50,"C","D"))))</f>
        <v>D</v>
      </c>
      <c r="K215" s="14" t="s">
        <v>67</v>
      </c>
      <c r="L215" s="16" t="s">
        <v>21</v>
      </c>
    </row>
    <row r="216" customFormat="false" ht="15" hidden="false" customHeight="false" outlineLevel="0" collapsed="false">
      <c r="A216" s="4" t="s">
        <v>95</v>
      </c>
      <c r="B216" s="5" t="s">
        <v>55</v>
      </c>
      <c r="C216" s="23" t="s">
        <v>51</v>
      </c>
      <c r="D216" s="7" t="n">
        <v>250</v>
      </c>
      <c r="E216" s="8" t="n">
        <v>42000</v>
      </c>
      <c r="F216" s="9" t="n">
        <v>23.3</v>
      </c>
      <c r="G216" s="10" t="n">
        <v>0</v>
      </c>
      <c r="H216" s="11" t="n">
        <v>0</v>
      </c>
      <c r="I216" s="12" t="n">
        <v>0</v>
      </c>
      <c r="J216" s="13" t="str">
        <f aca="false">IF(F216&gt;=95,"S",IF(F216&gt;=85,"A",IF(F216&gt;=70,"B",IF(F216&gt;=50,"C","D"))))</f>
        <v>D</v>
      </c>
      <c r="K216" s="14" t="s">
        <v>67</v>
      </c>
      <c r="L216" s="16" t="s">
        <v>21</v>
      </c>
    </row>
    <row r="217" customFormat="false" ht="15" hidden="false" customHeight="false" outlineLevel="0" collapsed="false">
      <c r="A217" s="4" t="s">
        <v>95</v>
      </c>
      <c r="B217" s="5" t="s">
        <v>57</v>
      </c>
      <c r="C217" s="23" t="s">
        <v>51</v>
      </c>
      <c r="D217" s="7" t="n">
        <v>180</v>
      </c>
      <c r="E217" s="8" t="n">
        <v>31000</v>
      </c>
      <c r="F217" s="9" t="n">
        <v>24.2</v>
      </c>
      <c r="G217" s="10" t="n">
        <v>0</v>
      </c>
      <c r="H217" s="11" t="n">
        <v>0</v>
      </c>
      <c r="I217" s="12" t="n">
        <v>0</v>
      </c>
      <c r="J217" s="13" t="str">
        <f aca="false">IF(F217&gt;=95,"S",IF(F217&gt;=85,"A",IF(F217&gt;=70,"B",IF(F217&gt;=50,"C","D"))))</f>
        <v>D</v>
      </c>
      <c r="K217" s="24" t="s">
        <v>56</v>
      </c>
      <c r="L217" s="20" t="s">
        <v>36</v>
      </c>
    </row>
    <row r="218" customFormat="false" ht="15" hidden="false" customHeight="false" outlineLevel="0" collapsed="false">
      <c r="A218" s="4" t="s">
        <v>95</v>
      </c>
      <c r="B218" s="5" t="s">
        <v>58</v>
      </c>
      <c r="C218" s="23" t="s">
        <v>51</v>
      </c>
      <c r="D218" s="7" t="n">
        <v>95</v>
      </c>
      <c r="E218" s="8" t="n">
        <v>16000</v>
      </c>
      <c r="F218" s="9" t="n">
        <v>23.7</v>
      </c>
      <c r="G218" s="10" t="n">
        <v>0</v>
      </c>
      <c r="H218" s="11" t="n">
        <v>0</v>
      </c>
      <c r="I218" s="12" t="n">
        <v>0</v>
      </c>
      <c r="J218" s="13" t="str">
        <f aca="false">IF(F218&gt;=95,"S",IF(F218&gt;=85,"A",IF(F218&gt;=70,"B",IF(F218&gt;=50,"C","D"))))</f>
        <v>D</v>
      </c>
      <c r="K218" s="24" t="s">
        <v>54</v>
      </c>
      <c r="L218" s="16" t="s">
        <v>21</v>
      </c>
    </row>
    <row r="219" customFormat="false" ht="15" hidden="false" customHeight="false" outlineLevel="0" collapsed="false">
      <c r="A219" s="4" t="s">
        <v>95</v>
      </c>
      <c r="B219" s="5" t="s">
        <v>59</v>
      </c>
      <c r="C219" s="23" t="s">
        <v>51</v>
      </c>
      <c r="D219" s="7" t="n">
        <v>32</v>
      </c>
      <c r="E219" s="8" t="n">
        <v>4000</v>
      </c>
      <c r="F219" s="9" t="n">
        <v>20.1</v>
      </c>
      <c r="G219" s="10" t="n">
        <v>0</v>
      </c>
      <c r="H219" s="11" t="n">
        <v>0</v>
      </c>
      <c r="I219" s="12" t="n">
        <v>0</v>
      </c>
      <c r="J219" s="13" t="str">
        <f aca="false">IF(F219&gt;=95,"S",IF(F219&gt;=85,"A",IF(F219&gt;=70,"B",IF(F219&gt;=50,"C","D"))))</f>
        <v>D</v>
      </c>
      <c r="K219" s="14" t="s">
        <v>52</v>
      </c>
      <c r="L219" s="15" t="s">
        <v>18</v>
      </c>
    </row>
    <row r="220" customFormat="false" ht="15" hidden="false" customHeight="false" outlineLevel="0" collapsed="false">
      <c r="A220" s="4" t="s">
        <v>95</v>
      </c>
      <c r="B220" s="5" t="s">
        <v>61</v>
      </c>
      <c r="C220" s="23" t="s">
        <v>51</v>
      </c>
      <c r="D220" s="7" t="n">
        <v>220</v>
      </c>
      <c r="E220" s="8" t="n">
        <v>31000</v>
      </c>
      <c r="F220" s="9" t="n">
        <v>19.4</v>
      </c>
      <c r="G220" s="10" t="n">
        <v>0</v>
      </c>
      <c r="H220" s="11" t="n">
        <v>0</v>
      </c>
      <c r="I220" s="12" t="n">
        <v>0</v>
      </c>
      <c r="J220" s="13" t="str">
        <f aca="false">IF(F220&gt;=95,"S",IF(F220&gt;=85,"A",IF(F220&gt;=70,"B",IF(F220&gt;=50,"C","D"))))</f>
        <v>D</v>
      </c>
      <c r="K220" s="14" t="s">
        <v>88</v>
      </c>
      <c r="L220" s="19" t="s">
        <v>33</v>
      </c>
    </row>
    <row r="221" customFormat="false" ht="15" hidden="false" customHeight="false" outlineLevel="0" collapsed="false">
      <c r="A221" s="4" t="s">
        <v>95</v>
      </c>
      <c r="B221" s="5" t="s">
        <v>62</v>
      </c>
      <c r="C221" s="23" t="s">
        <v>51</v>
      </c>
      <c r="D221" s="7" t="n">
        <v>85</v>
      </c>
      <c r="E221" s="8" t="n">
        <v>11000</v>
      </c>
      <c r="F221" s="9" t="n">
        <v>19</v>
      </c>
      <c r="G221" s="10" t="n">
        <v>0</v>
      </c>
      <c r="H221" s="11" t="n">
        <v>0</v>
      </c>
      <c r="I221" s="12" t="n">
        <v>0</v>
      </c>
      <c r="J221" s="13" t="str">
        <f aca="false">IF(F221&gt;=95,"S",IF(F221&gt;=85,"A",IF(F221&gt;=70,"B",IF(F221&gt;=50,"C","D"))))</f>
        <v>D</v>
      </c>
      <c r="K221" s="24" t="s">
        <v>56</v>
      </c>
      <c r="L221" s="15" t="s">
        <v>18</v>
      </c>
    </row>
    <row r="222" customFormat="false" ht="15" hidden="false" customHeight="false" outlineLevel="0" collapsed="false">
      <c r="A222" s="4" t="s">
        <v>95</v>
      </c>
      <c r="B222" s="5" t="s">
        <v>64</v>
      </c>
      <c r="C222" s="23" t="s">
        <v>51</v>
      </c>
      <c r="D222" s="7" t="n">
        <v>60</v>
      </c>
      <c r="E222" s="8" t="n">
        <v>8000</v>
      </c>
      <c r="F222" s="9" t="n">
        <v>18.9</v>
      </c>
      <c r="G222" s="10" t="n">
        <v>0</v>
      </c>
      <c r="H222" s="11" t="n">
        <v>0</v>
      </c>
      <c r="I222" s="12" t="n">
        <v>0</v>
      </c>
      <c r="J222" s="13" t="str">
        <f aca="false">IF(F222&gt;=95,"S",IF(F222&gt;=85,"A",IF(F222&gt;=70,"B",IF(F222&gt;=50,"C","D"))))</f>
        <v>D</v>
      </c>
      <c r="K222" s="14" t="s">
        <v>67</v>
      </c>
      <c r="L222" s="16" t="s">
        <v>21</v>
      </c>
    </row>
    <row r="223" customFormat="false" ht="15" hidden="false" customHeight="false" outlineLevel="0" collapsed="false">
      <c r="A223" s="4" t="s">
        <v>95</v>
      </c>
      <c r="B223" s="5" t="s">
        <v>66</v>
      </c>
      <c r="C223" s="23" t="s">
        <v>51</v>
      </c>
      <c r="D223" s="7" t="n">
        <v>75</v>
      </c>
      <c r="E223" s="8" t="n">
        <v>10000</v>
      </c>
      <c r="F223" s="9" t="n">
        <v>19.3</v>
      </c>
      <c r="G223" s="10" t="n">
        <v>0</v>
      </c>
      <c r="H223" s="11" t="n">
        <v>0</v>
      </c>
      <c r="I223" s="12" t="n">
        <v>0</v>
      </c>
      <c r="J223" s="13" t="str">
        <f aca="false">IF(F223&gt;=95,"S",IF(F223&gt;=85,"A",IF(F223&gt;=70,"B",IF(F223&gt;=50,"C","D"))))</f>
        <v>D</v>
      </c>
      <c r="K223" s="14" t="s">
        <v>82</v>
      </c>
      <c r="L223" s="16" t="s">
        <v>21</v>
      </c>
    </row>
    <row r="224" customFormat="false" ht="15" hidden="false" customHeight="false" outlineLevel="0" collapsed="false">
      <c r="A224" s="4" t="s">
        <v>95</v>
      </c>
      <c r="B224" s="5" t="s">
        <v>68</v>
      </c>
      <c r="C224" s="25" t="s">
        <v>69</v>
      </c>
      <c r="D224" s="7" t="n">
        <v>460</v>
      </c>
      <c r="E224" s="8" t="n">
        <v>295000</v>
      </c>
      <c r="F224" s="9" t="n">
        <v>88</v>
      </c>
      <c r="G224" s="10" t="n">
        <v>2021</v>
      </c>
      <c r="H224" s="11" t="n">
        <v>78175</v>
      </c>
      <c r="I224" s="12" t="n">
        <f aca="false">IFERROR(G224*1000/E224*1000,0)</f>
        <v>6850.84745762712</v>
      </c>
      <c r="J224" s="13" t="str">
        <f aca="false">IF(F224&gt;=95,"S",IF(F224&gt;=85,"A",IF(F224&gt;=70,"B",IF(F224&gt;=50,"C","D"))))</f>
        <v>A</v>
      </c>
      <c r="K224" s="14" t="s">
        <v>70</v>
      </c>
      <c r="L224" s="16" t="s">
        <v>21</v>
      </c>
    </row>
    <row r="225" customFormat="false" ht="15" hidden="false" customHeight="false" outlineLevel="0" collapsed="false">
      <c r="A225" s="4" t="s">
        <v>95</v>
      </c>
      <c r="B225" s="5" t="s">
        <v>71</v>
      </c>
      <c r="C225" s="25" t="s">
        <v>69</v>
      </c>
      <c r="D225" s="7" t="n">
        <v>460</v>
      </c>
      <c r="E225" s="8" t="n">
        <v>312000</v>
      </c>
      <c r="F225" s="9" t="n">
        <v>93</v>
      </c>
      <c r="G225" s="10" t="n">
        <v>2137</v>
      </c>
      <c r="H225" s="11" t="n">
        <v>82680</v>
      </c>
      <c r="I225" s="12" t="n">
        <f aca="false">IFERROR(G225*1000/E225*1000,0)</f>
        <v>6849.35897435898</v>
      </c>
      <c r="J225" s="13" t="str">
        <f aca="false">IF(F225&gt;=95,"S",IF(F225&gt;=85,"A",IF(F225&gt;=70,"B",IF(F225&gt;=50,"C","D"))))</f>
        <v>A</v>
      </c>
      <c r="K225" s="14" t="s">
        <v>70</v>
      </c>
      <c r="L225" s="15" t="s">
        <v>18</v>
      </c>
    </row>
    <row r="226" customFormat="false" ht="15" hidden="false" customHeight="false" outlineLevel="0" collapsed="false">
      <c r="A226" s="4" t="s">
        <v>95</v>
      </c>
      <c r="B226" s="5" t="s">
        <v>73</v>
      </c>
      <c r="C226" s="26" t="s">
        <v>74</v>
      </c>
      <c r="D226" s="7" t="n">
        <v>80</v>
      </c>
      <c r="E226" s="8" t="n">
        <v>26000</v>
      </c>
      <c r="F226" s="9" t="n">
        <v>44.8</v>
      </c>
      <c r="G226" s="10" t="n">
        <v>0</v>
      </c>
      <c r="H226" s="11" t="n">
        <v>0</v>
      </c>
      <c r="I226" s="12" t="n">
        <v>0</v>
      </c>
      <c r="J226" s="13" t="str">
        <f aca="false">IF(F226&gt;=95,"S",IF(F226&gt;=85,"A",IF(F226&gt;=70,"B",IF(F226&gt;=50,"C","D"))))</f>
        <v>D</v>
      </c>
      <c r="K226" s="14" t="s">
        <v>84</v>
      </c>
      <c r="L226" s="17" t="s">
        <v>27</v>
      </c>
    </row>
    <row r="227" customFormat="false" ht="15" hidden="false" customHeight="false" outlineLevel="0" collapsed="false">
      <c r="A227" s="4" t="s">
        <v>95</v>
      </c>
      <c r="B227" s="5" t="s">
        <v>76</v>
      </c>
      <c r="C227" s="26" t="s">
        <v>74</v>
      </c>
      <c r="D227" s="7" t="n">
        <v>80</v>
      </c>
      <c r="E227" s="8" t="n">
        <v>26000</v>
      </c>
      <c r="F227" s="9" t="n">
        <v>46</v>
      </c>
      <c r="G227" s="10" t="n">
        <v>0</v>
      </c>
      <c r="H227" s="11" t="n">
        <v>0</v>
      </c>
      <c r="I227" s="12" t="n">
        <v>0</v>
      </c>
      <c r="J227" s="13" t="str">
        <f aca="false">IF(F227&gt;=95,"S",IF(F227&gt;=85,"A",IF(F227&gt;=70,"B",IF(F227&gt;=50,"C","D"))))</f>
        <v>D</v>
      </c>
      <c r="K227" s="14" t="s">
        <v>84</v>
      </c>
      <c r="L227" s="19" t="s">
        <v>33</v>
      </c>
    </row>
    <row r="228" customFormat="false" ht="15" hidden="false" customHeight="false" outlineLevel="0" collapsed="false">
      <c r="A228" s="4" t="s">
        <v>95</v>
      </c>
      <c r="B228" s="5" t="s">
        <v>78</v>
      </c>
      <c r="C228" s="26" t="s">
        <v>74</v>
      </c>
      <c r="D228" s="7" t="n">
        <v>100</v>
      </c>
      <c r="E228" s="8" t="n">
        <v>27000</v>
      </c>
      <c r="F228" s="9" t="n">
        <v>38.2</v>
      </c>
      <c r="G228" s="10" t="n">
        <v>0</v>
      </c>
      <c r="H228" s="11" t="n">
        <v>0</v>
      </c>
      <c r="I228" s="12" t="n">
        <v>0</v>
      </c>
      <c r="J228" s="13" t="str">
        <f aca="false">IF(F228&gt;=95,"S",IF(F228&gt;=85,"A",IF(F228&gt;=70,"B",IF(F228&gt;=50,"C","D"))))</f>
        <v>D</v>
      </c>
      <c r="K228" s="14" t="s">
        <v>77</v>
      </c>
      <c r="L228" s="15" t="s">
        <v>18</v>
      </c>
    </row>
    <row r="229" customFormat="false" ht="15" hidden="false" customHeight="false" outlineLevel="0" collapsed="false">
      <c r="A229" s="4" t="s">
        <v>96</v>
      </c>
      <c r="B229" s="27" t="s">
        <v>15</v>
      </c>
      <c r="C229" s="6" t="s">
        <v>16</v>
      </c>
      <c r="D229" s="28" t="n">
        <v>500</v>
      </c>
      <c r="E229" s="29" t="n">
        <v>389000</v>
      </c>
      <c r="F229" s="30" t="n">
        <v>106.6</v>
      </c>
      <c r="G229" s="31" t="n">
        <v>2910</v>
      </c>
      <c r="H229" s="32" t="n">
        <v>148598</v>
      </c>
      <c r="I229" s="33" t="n">
        <f aca="false">IFERROR(G229*1000/E229*1000,0)</f>
        <v>7480.71979434447</v>
      </c>
      <c r="J229" s="13" t="str">
        <f aca="false">IF(F229&gt;=95,"S",IF(F229&gt;=85,"A",IF(F229&gt;=70,"B",IF(F229&gt;=50,"C","D"))))</f>
        <v>S</v>
      </c>
      <c r="K229" s="14" t="s">
        <v>33</v>
      </c>
      <c r="L229" s="15" t="s">
        <v>18</v>
      </c>
    </row>
    <row r="230" customFormat="false" ht="15" hidden="false" customHeight="false" outlineLevel="0" collapsed="false">
      <c r="A230" s="4" t="s">
        <v>96</v>
      </c>
      <c r="B230" s="27" t="s">
        <v>19</v>
      </c>
      <c r="C230" s="6" t="s">
        <v>16</v>
      </c>
      <c r="D230" s="28" t="n">
        <v>500</v>
      </c>
      <c r="E230" s="29" t="n">
        <v>369000</v>
      </c>
      <c r="F230" s="30" t="n">
        <v>101.3</v>
      </c>
      <c r="G230" s="31" t="n">
        <v>2760</v>
      </c>
      <c r="H230" s="32" t="n">
        <v>140958</v>
      </c>
      <c r="I230" s="33" t="n">
        <f aca="false">IFERROR(G230*1000/E230*1000,0)</f>
        <v>7479.67479674797</v>
      </c>
      <c r="J230" s="13" t="str">
        <f aca="false">IF(F230&gt;=95,"S",IF(F230&gt;=85,"A",IF(F230&gt;=70,"B",IF(F230&gt;=50,"C","D"))))</f>
        <v>S</v>
      </c>
      <c r="K230" s="14" t="s">
        <v>30</v>
      </c>
      <c r="L230" s="19" t="s">
        <v>33</v>
      </c>
    </row>
    <row r="231" customFormat="false" ht="15" hidden="false" customHeight="false" outlineLevel="0" collapsed="false">
      <c r="A231" s="4" t="s">
        <v>96</v>
      </c>
      <c r="B231" s="27" t="s">
        <v>22</v>
      </c>
      <c r="C231" s="6" t="s">
        <v>16</v>
      </c>
      <c r="D231" s="28" t="n">
        <v>512</v>
      </c>
      <c r="E231" s="29" t="n">
        <v>376000</v>
      </c>
      <c r="F231" s="30" t="n">
        <v>100.7</v>
      </c>
      <c r="G231" s="31" t="n">
        <v>2812</v>
      </c>
      <c r="H231" s="32" t="n">
        <v>143632</v>
      </c>
      <c r="I231" s="33" t="n">
        <f aca="false">IFERROR(G231*1000/E231*1000,0)</f>
        <v>7478.72340425532</v>
      </c>
      <c r="J231" s="13" t="str">
        <f aca="false">IF(F231&gt;=95,"S",IF(F231&gt;=85,"A",IF(F231&gt;=70,"B",IF(F231&gt;=50,"C","D"))))</f>
        <v>S</v>
      </c>
      <c r="K231" s="14" t="s">
        <v>32</v>
      </c>
      <c r="L231" s="16" t="s">
        <v>21</v>
      </c>
    </row>
    <row r="232" customFormat="false" ht="15" hidden="false" customHeight="false" outlineLevel="0" collapsed="false">
      <c r="A232" s="4" t="s">
        <v>96</v>
      </c>
      <c r="B232" s="27" t="s">
        <v>24</v>
      </c>
      <c r="C232" s="6" t="s">
        <v>16</v>
      </c>
      <c r="D232" s="28" t="n">
        <v>500</v>
      </c>
      <c r="E232" s="29" t="n">
        <v>374000</v>
      </c>
      <c r="F232" s="30" t="n">
        <v>102.6</v>
      </c>
      <c r="G232" s="31" t="n">
        <v>2798</v>
      </c>
      <c r="H232" s="32" t="n">
        <v>142868</v>
      </c>
      <c r="I232" s="33" t="n">
        <f aca="false">IFERROR(G232*1000/E232*1000,0)</f>
        <v>7481.28342245989</v>
      </c>
      <c r="J232" s="13" t="str">
        <f aca="false">IF(F232&gt;=95,"S",IF(F232&gt;=85,"A",IF(F232&gt;=70,"B",IF(F232&gt;=50,"C","D"))))</f>
        <v>S</v>
      </c>
      <c r="K232" s="14" t="s">
        <v>32</v>
      </c>
      <c r="L232" s="20" t="s">
        <v>36</v>
      </c>
    </row>
    <row r="233" customFormat="false" ht="15" hidden="false" customHeight="false" outlineLevel="0" collapsed="false">
      <c r="A233" s="4" t="s">
        <v>96</v>
      </c>
      <c r="B233" s="27" t="s">
        <v>25</v>
      </c>
      <c r="C233" s="6" t="s">
        <v>16</v>
      </c>
      <c r="D233" s="28" t="n">
        <v>500</v>
      </c>
      <c r="E233" s="29" t="n">
        <v>379000</v>
      </c>
      <c r="F233" s="30" t="n">
        <v>104</v>
      </c>
      <c r="G233" s="31" t="n">
        <v>2835</v>
      </c>
      <c r="H233" s="32" t="n">
        <v>144778</v>
      </c>
      <c r="I233" s="33" t="n">
        <f aca="false">IFERROR(G233*1000/E233*1000,0)</f>
        <v>7480.2110817942</v>
      </c>
      <c r="J233" s="13" t="str">
        <f aca="false">IF(F233&gt;=95,"S",IF(F233&gt;=85,"A",IF(F233&gt;=70,"B",IF(F233&gt;=50,"C","D"))))</f>
        <v>S</v>
      </c>
      <c r="K233" s="14" t="s">
        <v>44</v>
      </c>
      <c r="L233" s="15" t="s">
        <v>18</v>
      </c>
    </row>
    <row r="234" customFormat="false" ht="15" hidden="false" customHeight="false" outlineLevel="0" collapsed="false">
      <c r="A234" s="4" t="s">
        <v>96</v>
      </c>
      <c r="B234" s="27" t="s">
        <v>28</v>
      </c>
      <c r="C234" s="6" t="s">
        <v>16</v>
      </c>
      <c r="D234" s="28" t="n">
        <v>480</v>
      </c>
      <c r="E234" s="29" t="n">
        <v>354000</v>
      </c>
      <c r="F234" s="30" t="n">
        <v>101.1</v>
      </c>
      <c r="G234" s="31" t="n">
        <v>2648</v>
      </c>
      <c r="H234" s="32" t="n">
        <v>135228</v>
      </c>
      <c r="I234" s="33" t="n">
        <f aca="false">IFERROR(G234*1000/E234*1000,0)</f>
        <v>7480.22598870057</v>
      </c>
      <c r="J234" s="13" t="str">
        <f aca="false">IF(F234&gt;=95,"S",IF(F234&gt;=85,"A",IF(F234&gt;=70,"B",IF(F234&gt;=50,"C","D"))))</f>
        <v>S</v>
      </c>
      <c r="K234" s="14" t="s">
        <v>23</v>
      </c>
      <c r="L234" s="15" t="s">
        <v>18</v>
      </c>
    </row>
    <row r="235" customFormat="false" ht="15" hidden="false" customHeight="false" outlineLevel="0" collapsed="false">
      <c r="A235" s="4" t="s">
        <v>96</v>
      </c>
      <c r="B235" s="27" t="s">
        <v>29</v>
      </c>
      <c r="C235" s="6" t="s">
        <v>16</v>
      </c>
      <c r="D235" s="28" t="n">
        <v>480</v>
      </c>
      <c r="E235" s="29" t="n">
        <v>369000</v>
      </c>
      <c r="F235" s="30" t="n">
        <v>105.4</v>
      </c>
      <c r="G235" s="31" t="n">
        <v>2760</v>
      </c>
      <c r="H235" s="32" t="n">
        <v>140958</v>
      </c>
      <c r="I235" s="33" t="n">
        <f aca="false">IFERROR(G235*1000/E235*1000,0)</f>
        <v>7479.67479674797</v>
      </c>
      <c r="J235" s="13" t="str">
        <f aca="false">IF(F235&gt;=95,"S",IF(F235&gt;=85,"A",IF(F235&gt;=70,"B",IF(F235&gt;=50,"C","D"))))</f>
        <v>S</v>
      </c>
      <c r="K235" s="14" t="s">
        <v>33</v>
      </c>
      <c r="L235" s="16" t="s">
        <v>21</v>
      </c>
    </row>
    <row r="236" customFormat="false" ht="15" hidden="false" customHeight="false" outlineLevel="0" collapsed="false">
      <c r="A236" s="4" t="s">
        <v>96</v>
      </c>
      <c r="B236" s="27" t="s">
        <v>31</v>
      </c>
      <c r="C236" s="6" t="s">
        <v>16</v>
      </c>
      <c r="D236" s="28" t="n">
        <v>495</v>
      </c>
      <c r="E236" s="29" t="n">
        <v>363000</v>
      </c>
      <c r="F236" s="30" t="n">
        <v>100.6</v>
      </c>
      <c r="G236" s="31" t="n">
        <v>2715</v>
      </c>
      <c r="H236" s="32" t="n">
        <v>138666</v>
      </c>
      <c r="I236" s="33" t="n">
        <f aca="false">IFERROR(G236*1000/E236*1000,0)</f>
        <v>7479.33884297521</v>
      </c>
      <c r="J236" s="13" t="str">
        <f aca="false">IF(F236&gt;=95,"S",IF(F236&gt;=85,"A",IF(F236&gt;=70,"B",IF(F236&gt;=50,"C","D"))))</f>
        <v>S</v>
      </c>
      <c r="K236" s="14" t="s">
        <v>32</v>
      </c>
      <c r="L236" s="17" t="s">
        <v>27</v>
      </c>
    </row>
    <row r="237" customFormat="false" ht="15" hidden="false" customHeight="false" outlineLevel="0" collapsed="false">
      <c r="A237" s="4" t="s">
        <v>96</v>
      </c>
      <c r="B237" s="27" t="s">
        <v>34</v>
      </c>
      <c r="C237" s="6" t="s">
        <v>16</v>
      </c>
      <c r="D237" s="28" t="n">
        <v>500</v>
      </c>
      <c r="E237" s="29" t="n">
        <v>365000</v>
      </c>
      <c r="F237" s="30" t="n">
        <v>100.1</v>
      </c>
      <c r="G237" s="31" t="n">
        <v>2730</v>
      </c>
      <c r="H237" s="32" t="n">
        <v>139430</v>
      </c>
      <c r="I237" s="33" t="n">
        <f aca="false">IFERROR(G237*1000/E237*1000,0)</f>
        <v>7479.45205479452</v>
      </c>
      <c r="J237" s="13" t="str">
        <f aca="false">IF(F237&gt;=95,"S",IF(F237&gt;=85,"A",IF(F237&gt;=70,"B",IF(F237&gt;=50,"C","D"))))</f>
        <v>S</v>
      </c>
      <c r="K237" s="14" t="s">
        <v>32</v>
      </c>
      <c r="L237" s="16" t="s">
        <v>21</v>
      </c>
    </row>
    <row r="238" customFormat="false" ht="15" hidden="false" customHeight="false" outlineLevel="0" collapsed="false">
      <c r="A238" s="4" t="s">
        <v>96</v>
      </c>
      <c r="B238" s="27" t="s">
        <v>37</v>
      </c>
      <c r="C238" s="6" t="s">
        <v>16</v>
      </c>
      <c r="D238" s="28" t="n">
        <v>520</v>
      </c>
      <c r="E238" s="29" t="n">
        <v>386000</v>
      </c>
      <c r="F238" s="30" t="n">
        <v>101.9</v>
      </c>
      <c r="G238" s="31" t="n">
        <v>2887</v>
      </c>
      <c r="H238" s="32" t="n">
        <v>147452</v>
      </c>
      <c r="I238" s="33" t="n">
        <f aca="false">IFERROR(G238*1000/E238*1000,0)</f>
        <v>7479.27461139896</v>
      </c>
      <c r="J238" s="13" t="str">
        <f aca="false">IF(F238&gt;=95,"S",IF(F238&gt;=85,"A",IF(F238&gt;=70,"B",IF(F238&gt;=50,"C","D"))))</f>
        <v>S</v>
      </c>
      <c r="K238" s="14" t="s">
        <v>30</v>
      </c>
      <c r="L238" s="16" t="s">
        <v>21</v>
      </c>
    </row>
    <row r="239" customFormat="false" ht="15" hidden="false" customHeight="false" outlineLevel="0" collapsed="false">
      <c r="A239" s="4" t="s">
        <v>96</v>
      </c>
      <c r="B239" s="27" t="s">
        <v>39</v>
      </c>
      <c r="C239" s="6" t="s">
        <v>16</v>
      </c>
      <c r="D239" s="28" t="n">
        <v>520</v>
      </c>
      <c r="E239" s="29" t="n">
        <v>382000</v>
      </c>
      <c r="F239" s="30" t="n">
        <v>100.7</v>
      </c>
      <c r="G239" s="31" t="n">
        <v>2857</v>
      </c>
      <c r="H239" s="32" t="n">
        <v>145924</v>
      </c>
      <c r="I239" s="33" t="n">
        <f aca="false">IFERROR(G239*1000/E239*1000,0)</f>
        <v>7479.05759162304</v>
      </c>
      <c r="J239" s="13" t="str">
        <f aca="false">IF(F239&gt;=95,"S",IF(F239&gt;=85,"A",IF(F239&gt;=70,"B",IF(F239&gt;=50,"C","D"))))</f>
        <v>S</v>
      </c>
      <c r="K239" s="14" t="s">
        <v>17</v>
      </c>
      <c r="L239" s="16" t="s">
        <v>21</v>
      </c>
    </row>
    <row r="240" customFormat="false" ht="15" hidden="false" customHeight="false" outlineLevel="0" collapsed="false">
      <c r="A240" s="4" t="s">
        <v>96</v>
      </c>
      <c r="B240" s="27" t="s">
        <v>40</v>
      </c>
      <c r="C240" s="6" t="s">
        <v>16</v>
      </c>
      <c r="D240" s="28" t="n">
        <v>530</v>
      </c>
      <c r="E240" s="29" t="n">
        <v>389000</v>
      </c>
      <c r="F240" s="30" t="n">
        <v>100.6</v>
      </c>
      <c r="G240" s="31" t="n">
        <v>2910</v>
      </c>
      <c r="H240" s="32" t="n">
        <v>148598</v>
      </c>
      <c r="I240" s="33" t="n">
        <f aca="false">IFERROR(G240*1000/E240*1000,0)</f>
        <v>7480.71979434447</v>
      </c>
      <c r="J240" s="13" t="str">
        <f aca="false">IF(F240&gt;=95,"S",IF(F240&gt;=85,"A",IF(F240&gt;=70,"B",IF(F240&gt;=50,"C","D"))))</f>
        <v>S</v>
      </c>
      <c r="K240" s="14" t="s">
        <v>33</v>
      </c>
      <c r="L240" s="16" t="s">
        <v>21</v>
      </c>
    </row>
    <row r="241" customFormat="false" ht="15" hidden="false" customHeight="false" outlineLevel="0" collapsed="false">
      <c r="A241" s="4" t="s">
        <v>96</v>
      </c>
      <c r="B241" s="27" t="s">
        <v>41</v>
      </c>
      <c r="C241" s="6" t="s">
        <v>16</v>
      </c>
      <c r="D241" s="28" t="n">
        <v>510</v>
      </c>
      <c r="E241" s="29" t="n">
        <v>392000</v>
      </c>
      <c r="F241" s="30" t="n">
        <v>105.3</v>
      </c>
      <c r="G241" s="31" t="n">
        <v>2932</v>
      </c>
      <c r="H241" s="32" t="n">
        <v>149744</v>
      </c>
      <c r="I241" s="33" t="n">
        <f aca="false">IFERROR(G241*1000/E241*1000,0)</f>
        <v>7479.59183673469</v>
      </c>
      <c r="J241" s="13" t="str">
        <f aca="false">IF(F241&gt;=95,"S",IF(F241&gt;=85,"A",IF(F241&gt;=70,"B",IF(F241&gt;=50,"C","D"))))</f>
        <v>S</v>
      </c>
      <c r="K241" s="14" t="s">
        <v>33</v>
      </c>
      <c r="L241" s="16" t="s">
        <v>21</v>
      </c>
    </row>
    <row r="242" customFormat="false" ht="15" hidden="false" customHeight="false" outlineLevel="0" collapsed="false">
      <c r="A242" s="4" t="s">
        <v>96</v>
      </c>
      <c r="B242" s="27" t="s">
        <v>42</v>
      </c>
      <c r="C242" s="6" t="s">
        <v>16</v>
      </c>
      <c r="D242" s="28" t="n">
        <v>510</v>
      </c>
      <c r="E242" s="29" t="n">
        <v>383000</v>
      </c>
      <c r="F242" s="30" t="n">
        <v>103</v>
      </c>
      <c r="G242" s="31" t="n">
        <v>2865</v>
      </c>
      <c r="H242" s="32" t="n">
        <v>146306</v>
      </c>
      <c r="I242" s="33" t="n">
        <f aca="false">IFERROR(G242*1000/E242*1000,0)</f>
        <v>7480.41775456919</v>
      </c>
      <c r="J242" s="13" t="str">
        <f aca="false">IF(F242&gt;=95,"S",IF(F242&gt;=85,"A",IF(F242&gt;=70,"B",IF(F242&gt;=50,"C","D"))))</f>
        <v>S</v>
      </c>
      <c r="K242" s="14" t="s">
        <v>23</v>
      </c>
      <c r="L242" s="19" t="s">
        <v>33</v>
      </c>
    </row>
    <row r="243" customFormat="false" ht="15" hidden="false" customHeight="false" outlineLevel="0" collapsed="false">
      <c r="A243" s="4" t="s">
        <v>96</v>
      </c>
      <c r="B243" s="27" t="s">
        <v>43</v>
      </c>
      <c r="C243" s="6" t="s">
        <v>16</v>
      </c>
      <c r="D243" s="28" t="n">
        <v>495</v>
      </c>
      <c r="E243" s="29" t="n">
        <v>387000</v>
      </c>
      <c r="F243" s="30" t="n">
        <v>107.1</v>
      </c>
      <c r="G243" s="31" t="n">
        <v>2895</v>
      </c>
      <c r="H243" s="32" t="n">
        <v>147834</v>
      </c>
      <c r="I243" s="33" t="n">
        <f aca="false">IFERROR(G243*1000/E243*1000,0)</f>
        <v>7480.62015503876</v>
      </c>
      <c r="J243" s="13" t="str">
        <f aca="false">IF(F243&gt;=95,"S",IF(F243&gt;=85,"A",IF(F243&gt;=70,"B",IF(F243&gt;=50,"C","D"))))</f>
        <v>S</v>
      </c>
      <c r="K243" s="34"/>
      <c r="L243" s="16" t="s">
        <v>21</v>
      </c>
    </row>
    <row r="244" customFormat="false" ht="15" hidden="false" customHeight="false" outlineLevel="0" collapsed="false">
      <c r="A244" s="4" t="s">
        <v>96</v>
      </c>
      <c r="B244" s="35" t="s">
        <v>45</v>
      </c>
      <c r="C244" s="22" t="s">
        <v>46</v>
      </c>
      <c r="D244" s="28" t="n">
        <v>200</v>
      </c>
      <c r="E244" s="29" t="n">
        <v>124000</v>
      </c>
      <c r="F244" s="30" t="n">
        <v>85.2</v>
      </c>
      <c r="G244" s="31" t="n">
        <v>920</v>
      </c>
      <c r="H244" s="32" t="n">
        <v>37324</v>
      </c>
      <c r="I244" s="33" t="n">
        <f aca="false">IFERROR(G244*1000/E244*1000,0)</f>
        <v>7419.35483870968</v>
      </c>
      <c r="J244" s="13" t="str">
        <f aca="false">IF(F244&gt;=95,"S",IF(F244&gt;=85,"A",IF(F244&gt;=70,"B",IF(F244&gt;=50,"C","D"))))</f>
        <v>A</v>
      </c>
      <c r="K244" s="14" t="s">
        <v>87</v>
      </c>
      <c r="L244" s="15" t="s">
        <v>18</v>
      </c>
    </row>
    <row r="245" customFormat="false" ht="15" hidden="false" customHeight="false" outlineLevel="0" collapsed="false">
      <c r="A245" s="4" t="s">
        <v>96</v>
      </c>
      <c r="B245" s="35" t="s">
        <v>48</v>
      </c>
      <c r="C245" s="22" t="s">
        <v>46</v>
      </c>
      <c r="D245" s="28" t="n">
        <v>220</v>
      </c>
      <c r="E245" s="29" t="n">
        <v>135000</v>
      </c>
      <c r="F245" s="30" t="n">
        <v>84.2</v>
      </c>
      <c r="G245" s="31" t="n">
        <v>1002</v>
      </c>
      <c r="H245" s="32" t="n">
        <v>40635</v>
      </c>
      <c r="I245" s="33" t="n">
        <f aca="false">IFERROR(G245*1000/E245*1000,0)</f>
        <v>7422.22222222222</v>
      </c>
      <c r="J245" s="13" t="str">
        <f aca="false">IF(F245&gt;=95,"S",IF(F245&gt;=85,"A",IF(F245&gt;=70,"B",IF(F245&gt;=50,"C","D"))))</f>
        <v>B</v>
      </c>
      <c r="K245" s="14" t="s">
        <v>92</v>
      </c>
      <c r="L245" s="20" t="s">
        <v>36</v>
      </c>
    </row>
    <row r="246" customFormat="false" ht="15" hidden="false" customHeight="false" outlineLevel="0" collapsed="false">
      <c r="A246" s="4" t="s">
        <v>96</v>
      </c>
      <c r="B246" s="27" t="s">
        <v>50</v>
      </c>
      <c r="C246" s="23" t="s">
        <v>51</v>
      </c>
      <c r="D246" s="28" t="n">
        <v>147</v>
      </c>
      <c r="E246" s="29" t="n">
        <v>22000</v>
      </c>
      <c r="F246" s="30" t="n">
        <v>21.3</v>
      </c>
      <c r="G246" s="31" t="n">
        <v>0</v>
      </c>
      <c r="H246" s="32" t="n">
        <v>0</v>
      </c>
      <c r="I246" s="33" t="n">
        <v>0</v>
      </c>
      <c r="J246" s="13" t="str">
        <f aca="false">IF(F246&gt;=95,"S",IF(F246&gt;=85,"A",IF(F246&gt;=70,"B",IF(F246&gt;=50,"C","D"))))</f>
        <v>D</v>
      </c>
      <c r="K246" s="14" t="s">
        <v>82</v>
      </c>
      <c r="L246" s="16" t="s">
        <v>21</v>
      </c>
    </row>
    <row r="247" customFormat="false" ht="15" hidden="false" customHeight="false" outlineLevel="0" collapsed="false">
      <c r="A247" s="4" t="s">
        <v>96</v>
      </c>
      <c r="B247" s="27" t="s">
        <v>53</v>
      </c>
      <c r="C247" s="23" t="s">
        <v>51</v>
      </c>
      <c r="D247" s="28" t="n">
        <v>320</v>
      </c>
      <c r="E247" s="29" t="n">
        <v>59000</v>
      </c>
      <c r="F247" s="30" t="n">
        <v>25.3</v>
      </c>
      <c r="G247" s="31" t="n">
        <v>0</v>
      </c>
      <c r="H247" s="32" t="n">
        <v>0</v>
      </c>
      <c r="I247" s="33" t="n">
        <v>0</v>
      </c>
      <c r="J247" s="13" t="str">
        <f aca="false">IF(F247&gt;=95,"S",IF(F247&gt;=85,"A",IF(F247&gt;=70,"B",IF(F247&gt;=50,"C","D"))))</f>
        <v>D</v>
      </c>
      <c r="K247" s="34"/>
      <c r="L247" s="19" t="s">
        <v>33</v>
      </c>
    </row>
    <row r="248" customFormat="false" ht="15" hidden="false" customHeight="false" outlineLevel="0" collapsed="false">
      <c r="A248" s="4" t="s">
        <v>96</v>
      </c>
      <c r="B248" s="27" t="s">
        <v>55</v>
      </c>
      <c r="C248" s="23" t="s">
        <v>51</v>
      </c>
      <c r="D248" s="28" t="n">
        <v>250</v>
      </c>
      <c r="E248" s="29" t="n">
        <v>37000</v>
      </c>
      <c r="F248" s="30" t="n">
        <v>20.3</v>
      </c>
      <c r="G248" s="31" t="n">
        <v>0</v>
      </c>
      <c r="H248" s="32" t="n">
        <v>0</v>
      </c>
      <c r="I248" s="33" t="n">
        <v>0</v>
      </c>
      <c r="J248" s="13" t="str">
        <f aca="false">IF(F248&gt;=95,"S",IF(F248&gt;=85,"A",IF(F248&gt;=70,"B",IF(F248&gt;=50,"C","D"))))</f>
        <v>D</v>
      </c>
      <c r="K248" s="14" t="s">
        <v>52</v>
      </c>
      <c r="L248" s="16" t="s">
        <v>21</v>
      </c>
    </row>
    <row r="249" customFormat="false" ht="15" hidden="false" customHeight="false" outlineLevel="0" collapsed="false">
      <c r="A249" s="4" t="s">
        <v>96</v>
      </c>
      <c r="B249" s="27" t="s">
        <v>57</v>
      </c>
      <c r="C249" s="23" t="s">
        <v>51</v>
      </c>
      <c r="D249" s="28" t="n">
        <v>180</v>
      </c>
      <c r="E249" s="29" t="n">
        <v>32000</v>
      </c>
      <c r="F249" s="30" t="n">
        <v>24.4</v>
      </c>
      <c r="G249" s="31" t="n">
        <v>0</v>
      </c>
      <c r="H249" s="32" t="n">
        <v>0</v>
      </c>
      <c r="I249" s="33" t="n">
        <v>0</v>
      </c>
      <c r="J249" s="13" t="str">
        <f aca="false">IF(F249&gt;=95,"S",IF(F249&gt;=85,"A",IF(F249&gt;=70,"B",IF(F249&gt;=50,"C","D"))))</f>
        <v>D</v>
      </c>
      <c r="K249" s="14" t="s">
        <v>88</v>
      </c>
      <c r="L249" s="16" t="s">
        <v>21</v>
      </c>
    </row>
    <row r="250" customFormat="false" ht="15" hidden="false" customHeight="false" outlineLevel="0" collapsed="false">
      <c r="A250" s="4" t="s">
        <v>96</v>
      </c>
      <c r="B250" s="27" t="s">
        <v>58</v>
      </c>
      <c r="C250" s="23" t="s">
        <v>51</v>
      </c>
      <c r="D250" s="28" t="n">
        <v>95</v>
      </c>
      <c r="E250" s="29" t="n">
        <v>17000</v>
      </c>
      <c r="F250" s="30" t="n">
        <v>25.6</v>
      </c>
      <c r="G250" s="31" t="n">
        <v>0</v>
      </c>
      <c r="H250" s="32" t="n">
        <v>0</v>
      </c>
      <c r="I250" s="33" t="n">
        <v>0</v>
      </c>
      <c r="J250" s="13" t="str">
        <f aca="false">IF(F250&gt;=95,"S",IF(F250&gt;=85,"A",IF(F250&gt;=70,"B",IF(F250&gt;=50,"C","D"))))</f>
        <v>D</v>
      </c>
      <c r="K250" s="14" t="s">
        <v>60</v>
      </c>
      <c r="L250" s="15" t="s">
        <v>18</v>
      </c>
    </row>
    <row r="251" customFormat="false" ht="15" hidden="false" customHeight="false" outlineLevel="0" collapsed="false">
      <c r="A251" s="4" t="s">
        <v>96</v>
      </c>
      <c r="B251" s="27" t="s">
        <v>59</v>
      </c>
      <c r="C251" s="23" t="s">
        <v>51</v>
      </c>
      <c r="D251" s="28" t="n">
        <v>32</v>
      </c>
      <c r="E251" s="29" t="n">
        <v>3000</v>
      </c>
      <c r="F251" s="30" t="n">
        <v>16</v>
      </c>
      <c r="G251" s="31" t="n">
        <v>0</v>
      </c>
      <c r="H251" s="32" t="n">
        <v>0</v>
      </c>
      <c r="I251" s="33" t="n">
        <v>0</v>
      </c>
      <c r="J251" s="13" t="str">
        <f aca="false">IF(F251&gt;=95,"S",IF(F251&gt;=85,"A",IF(F251&gt;=70,"B",IF(F251&gt;=50,"C","D"))))</f>
        <v>D</v>
      </c>
      <c r="K251" s="14" t="s">
        <v>52</v>
      </c>
      <c r="L251" s="20" t="s">
        <v>36</v>
      </c>
    </row>
    <row r="252" customFormat="false" ht="15" hidden="false" customHeight="false" outlineLevel="0" collapsed="false">
      <c r="A252" s="4" t="s">
        <v>96</v>
      </c>
      <c r="B252" s="27" t="s">
        <v>61</v>
      </c>
      <c r="C252" s="23" t="s">
        <v>51</v>
      </c>
      <c r="D252" s="28" t="n">
        <v>220</v>
      </c>
      <c r="E252" s="29" t="n">
        <v>29000</v>
      </c>
      <c r="F252" s="30" t="n">
        <v>18.5</v>
      </c>
      <c r="G252" s="31" t="n">
        <v>0</v>
      </c>
      <c r="H252" s="32" t="n">
        <v>0</v>
      </c>
      <c r="I252" s="33" t="n">
        <v>0</v>
      </c>
      <c r="J252" s="13" t="str">
        <f aca="false">IF(F252&gt;=95,"S",IF(F252&gt;=85,"A",IF(F252&gt;=70,"B",IF(F252&gt;=50,"C","D"))))</f>
        <v>D</v>
      </c>
      <c r="K252" s="14" t="s">
        <v>65</v>
      </c>
      <c r="L252" s="16" t="s">
        <v>21</v>
      </c>
    </row>
    <row r="253" customFormat="false" ht="15" hidden="false" customHeight="false" outlineLevel="0" collapsed="false">
      <c r="A253" s="4" t="s">
        <v>96</v>
      </c>
      <c r="B253" s="27" t="s">
        <v>62</v>
      </c>
      <c r="C253" s="23" t="s">
        <v>51</v>
      </c>
      <c r="D253" s="28" t="n">
        <v>85</v>
      </c>
      <c r="E253" s="29" t="n">
        <v>10000</v>
      </c>
      <c r="F253" s="30" t="n">
        <v>16.2</v>
      </c>
      <c r="G253" s="31" t="n">
        <v>0</v>
      </c>
      <c r="H253" s="32" t="n">
        <v>0</v>
      </c>
      <c r="I253" s="33" t="n">
        <v>0</v>
      </c>
      <c r="J253" s="13" t="str">
        <f aca="false">IF(F253&gt;=95,"S",IF(F253&gt;=85,"A",IF(F253&gt;=70,"B",IF(F253&gt;=50,"C","D"))))</f>
        <v>D</v>
      </c>
      <c r="K253" s="14" t="s">
        <v>67</v>
      </c>
      <c r="L253" s="16" t="s">
        <v>21</v>
      </c>
    </row>
    <row r="254" customFormat="false" ht="15" hidden="false" customHeight="false" outlineLevel="0" collapsed="false">
      <c r="A254" s="4" t="s">
        <v>96</v>
      </c>
      <c r="B254" s="27" t="s">
        <v>64</v>
      </c>
      <c r="C254" s="23" t="s">
        <v>51</v>
      </c>
      <c r="D254" s="28" t="n">
        <v>60</v>
      </c>
      <c r="E254" s="29" t="n">
        <v>7000</v>
      </c>
      <c r="F254" s="30" t="n">
        <v>16.9</v>
      </c>
      <c r="G254" s="31" t="n">
        <v>0</v>
      </c>
      <c r="H254" s="32" t="n">
        <v>0</v>
      </c>
      <c r="I254" s="33" t="n">
        <v>0</v>
      </c>
      <c r="J254" s="13" t="str">
        <f aca="false">IF(F254&gt;=95,"S",IF(F254&gt;=85,"A",IF(F254&gt;=70,"B",IF(F254&gt;=50,"C","D"))))</f>
        <v>D</v>
      </c>
      <c r="K254" s="24" t="s">
        <v>56</v>
      </c>
      <c r="L254" s="20" t="s">
        <v>36</v>
      </c>
    </row>
    <row r="255" customFormat="false" ht="15" hidden="false" customHeight="false" outlineLevel="0" collapsed="false">
      <c r="A255" s="4" t="s">
        <v>96</v>
      </c>
      <c r="B255" s="27" t="s">
        <v>66</v>
      </c>
      <c r="C255" s="23" t="s">
        <v>51</v>
      </c>
      <c r="D255" s="28" t="n">
        <v>75</v>
      </c>
      <c r="E255" s="29" t="n">
        <v>10000</v>
      </c>
      <c r="F255" s="30" t="n">
        <v>18.8</v>
      </c>
      <c r="G255" s="31" t="n">
        <v>0</v>
      </c>
      <c r="H255" s="32" t="n">
        <v>0</v>
      </c>
      <c r="I255" s="33" t="n">
        <v>0</v>
      </c>
      <c r="J255" s="13" t="str">
        <f aca="false">IF(F255&gt;=95,"S",IF(F255&gt;=85,"A",IF(F255&gt;=70,"B",IF(F255&gt;=50,"C","D"))))</f>
        <v>D</v>
      </c>
      <c r="K255" s="14" t="s">
        <v>67</v>
      </c>
      <c r="L255" s="16" t="s">
        <v>21</v>
      </c>
    </row>
    <row r="256" customFormat="false" ht="15" hidden="false" customHeight="false" outlineLevel="0" collapsed="false">
      <c r="A256" s="4" t="s">
        <v>96</v>
      </c>
      <c r="B256" s="27" t="s">
        <v>68</v>
      </c>
      <c r="C256" s="25" t="s">
        <v>69</v>
      </c>
      <c r="D256" s="28" t="n">
        <v>460</v>
      </c>
      <c r="E256" s="29" t="n">
        <v>321000</v>
      </c>
      <c r="F256" s="30" t="n">
        <v>95.8</v>
      </c>
      <c r="G256" s="31" t="n">
        <v>2199</v>
      </c>
      <c r="H256" s="32" t="n">
        <v>85065</v>
      </c>
      <c r="I256" s="33" t="n">
        <f aca="false">IFERROR(G256*1000/E256*1000,0)</f>
        <v>6850.46728971963</v>
      </c>
      <c r="J256" s="13" t="str">
        <f aca="false">IF(F256&gt;=95,"S",IF(F256&gt;=85,"A",IF(F256&gt;=70,"B",IF(F256&gt;=50,"C","D"))))</f>
        <v>S</v>
      </c>
      <c r="K256" s="14" t="s">
        <v>72</v>
      </c>
      <c r="L256" s="19" t="s">
        <v>33</v>
      </c>
    </row>
    <row r="257" customFormat="false" ht="15" hidden="false" customHeight="false" outlineLevel="0" collapsed="false">
      <c r="A257" s="4" t="s">
        <v>96</v>
      </c>
      <c r="B257" s="27" t="s">
        <v>71</v>
      </c>
      <c r="C257" s="25" t="s">
        <v>69</v>
      </c>
      <c r="D257" s="28" t="n">
        <v>460</v>
      </c>
      <c r="E257" s="29" t="n">
        <v>327000</v>
      </c>
      <c r="F257" s="30" t="n">
        <v>97.5</v>
      </c>
      <c r="G257" s="31" t="n">
        <v>2240</v>
      </c>
      <c r="H257" s="32" t="n">
        <v>86655</v>
      </c>
      <c r="I257" s="33" t="n">
        <f aca="false">IFERROR(G257*1000/E257*1000,0)</f>
        <v>6850.15290519878</v>
      </c>
      <c r="J257" s="13" t="str">
        <f aca="false">IF(F257&gt;=95,"S",IF(F257&gt;=85,"A",IF(F257&gt;=70,"B",IF(F257&gt;=50,"C","D"))))</f>
        <v>S</v>
      </c>
      <c r="K257" s="14" t="s">
        <v>70</v>
      </c>
      <c r="L257" s="17" t="s">
        <v>27</v>
      </c>
    </row>
    <row r="258" customFormat="false" ht="15" hidden="false" customHeight="false" outlineLevel="0" collapsed="false">
      <c r="A258" s="4" t="s">
        <v>96</v>
      </c>
      <c r="B258" s="27" t="s">
        <v>73</v>
      </c>
      <c r="C258" s="26" t="s">
        <v>74</v>
      </c>
      <c r="D258" s="28" t="n">
        <v>80</v>
      </c>
      <c r="E258" s="29" t="n">
        <v>23000</v>
      </c>
      <c r="F258" s="30" t="n">
        <v>40.8</v>
      </c>
      <c r="G258" s="31" t="n">
        <v>0</v>
      </c>
      <c r="H258" s="32" t="n">
        <v>0</v>
      </c>
      <c r="I258" s="33" t="n">
        <v>0</v>
      </c>
      <c r="J258" s="13" t="str">
        <f aca="false">IF(F258&gt;=95,"S",IF(F258&gt;=85,"A",IF(F258&gt;=70,"B",IF(F258&gt;=50,"C","D"))))</f>
        <v>D</v>
      </c>
      <c r="K258" s="14" t="s">
        <v>89</v>
      </c>
      <c r="L258" s="16" t="s">
        <v>21</v>
      </c>
    </row>
    <row r="259" customFormat="false" ht="15" hidden="false" customHeight="false" outlineLevel="0" collapsed="false">
      <c r="A259" s="4" t="s">
        <v>96</v>
      </c>
      <c r="B259" s="27" t="s">
        <v>76</v>
      </c>
      <c r="C259" s="26" t="s">
        <v>74</v>
      </c>
      <c r="D259" s="28" t="n">
        <v>80</v>
      </c>
      <c r="E259" s="29" t="n">
        <v>21000</v>
      </c>
      <c r="F259" s="30" t="n">
        <v>36.9</v>
      </c>
      <c r="G259" s="31" t="n">
        <v>0</v>
      </c>
      <c r="H259" s="32" t="n">
        <v>0</v>
      </c>
      <c r="I259" s="33" t="n">
        <v>0</v>
      </c>
      <c r="J259" s="13" t="str">
        <f aca="false">IF(F259&gt;=95,"S",IF(F259&gt;=85,"A",IF(F259&gt;=70,"B",IF(F259&gt;=50,"C","D"))))</f>
        <v>D</v>
      </c>
      <c r="K259" s="14" t="s">
        <v>84</v>
      </c>
      <c r="L259" s="16" t="s">
        <v>21</v>
      </c>
    </row>
    <row r="260" customFormat="false" ht="15" hidden="false" customHeight="false" outlineLevel="0" collapsed="false">
      <c r="A260" s="4" t="s">
        <v>96</v>
      </c>
      <c r="B260" s="27" t="s">
        <v>78</v>
      </c>
      <c r="C260" s="26" t="s">
        <v>74</v>
      </c>
      <c r="D260" s="28" t="n">
        <v>100</v>
      </c>
      <c r="E260" s="29" t="n">
        <v>31000</v>
      </c>
      <c r="F260" s="30" t="n">
        <v>43.2</v>
      </c>
      <c r="G260" s="31" t="n">
        <v>0</v>
      </c>
      <c r="H260" s="32" t="n">
        <v>0</v>
      </c>
      <c r="I260" s="33" t="n">
        <v>0</v>
      </c>
      <c r="J260" s="13" t="str">
        <f aca="false">IF(F260&gt;=95,"S",IF(F260&gt;=85,"A",IF(F260&gt;=70,"B",IF(F260&gt;=50,"C","D"))))</f>
        <v>D</v>
      </c>
      <c r="K260" s="14" t="s">
        <v>75</v>
      </c>
      <c r="L260" s="16" t="s">
        <v>21</v>
      </c>
    </row>
    <row r="261" customFormat="false" ht="15" hidden="false" customHeight="false" outlineLevel="0" collapsed="false">
      <c r="A261" s="4" t="s">
        <v>97</v>
      </c>
      <c r="B261" s="5" t="s">
        <v>15</v>
      </c>
      <c r="C261" s="6" t="s">
        <v>16</v>
      </c>
      <c r="D261" s="7" t="n">
        <v>500</v>
      </c>
      <c r="E261" s="8" t="n">
        <v>294000</v>
      </c>
      <c r="F261" s="9" t="n">
        <v>80.7</v>
      </c>
      <c r="G261" s="10" t="n">
        <v>2199</v>
      </c>
      <c r="H261" s="11" t="n">
        <v>112308</v>
      </c>
      <c r="I261" s="12" t="n">
        <f aca="false">IFERROR(G261*1000/E261*1000,0)</f>
        <v>7479.59183673469</v>
      </c>
      <c r="J261" s="13" t="str">
        <f aca="false">IF(F261&gt;=95,"S",IF(F261&gt;=85,"A",IF(F261&gt;=70,"B",IF(F261&gt;=50,"C","D"))))</f>
        <v>B</v>
      </c>
      <c r="K261" s="14" t="s">
        <v>35</v>
      </c>
      <c r="L261" s="20" t="s">
        <v>36</v>
      </c>
    </row>
    <row r="262" customFormat="false" ht="15" hidden="false" customHeight="false" outlineLevel="0" collapsed="false">
      <c r="A262" s="4" t="s">
        <v>97</v>
      </c>
      <c r="B262" s="5" t="s">
        <v>19</v>
      </c>
      <c r="C262" s="6" t="s">
        <v>16</v>
      </c>
      <c r="D262" s="7" t="n">
        <v>500</v>
      </c>
      <c r="E262" s="8" t="n">
        <v>296000</v>
      </c>
      <c r="F262" s="9" t="n">
        <v>81.2</v>
      </c>
      <c r="G262" s="10" t="n">
        <v>2214</v>
      </c>
      <c r="H262" s="11" t="n">
        <v>113072</v>
      </c>
      <c r="I262" s="12" t="n">
        <f aca="false">IFERROR(G262*1000/E262*1000,0)</f>
        <v>7479.72972972973</v>
      </c>
      <c r="J262" s="13" t="str">
        <f aca="false">IF(F262&gt;=95,"S",IF(F262&gt;=85,"A",IF(F262&gt;=70,"B",IF(F262&gt;=50,"C","D"))))</f>
        <v>B</v>
      </c>
      <c r="K262" s="14" t="s">
        <v>86</v>
      </c>
      <c r="L262" s="16" t="s">
        <v>21</v>
      </c>
    </row>
    <row r="263" customFormat="false" ht="15" hidden="false" customHeight="false" outlineLevel="0" collapsed="false">
      <c r="A263" s="4" t="s">
        <v>97</v>
      </c>
      <c r="B263" s="5" t="s">
        <v>22</v>
      </c>
      <c r="C263" s="6" t="s">
        <v>16</v>
      </c>
      <c r="D263" s="7" t="n">
        <v>512</v>
      </c>
      <c r="E263" s="8" t="n">
        <v>312000</v>
      </c>
      <c r="F263" s="9" t="n">
        <v>83.6</v>
      </c>
      <c r="G263" s="10" t="n">
        <v>2334</v>
      </c>
      <c r="H263" s="11" t="n">
        <v>119184</v>
      </c>
      <c r="I263" s="12" t="n">
        <f aca="false">IFERROR(G263*1000/E263*1000,0)</f>
        <v>7480.76923076923</v>
      </c>
      <c r="J263" s="13" t="str">
        <f aca="false">IF(F263&gt;=95,"S",IF(F263&gt;=85,"A",IF(F263&gt;=70,"B",IF(F263&gt;=50,"C","D"))))</f>
        <v>B</v>
      </c>
      <c r="K263" s="14" t="s">
        <v>33</v>
      </c>
      <c r="L263" s="16" t="s">
        <v>21</v>
      </c>
    </row>
    <row r="264" customFormat="false" ht="15" hidden="false" customHeight="false" outlineLevel="0" collapsed="false">
      <c r="A264" s="4" t="s">
        <v>97</v>
      </c>
      <c r="B264" s="5" t="s">
        <v>24</v>
      </c>
      <c r="C264" s="6" t="s">
        <v>16</v>
      </c>
      <c r="D264" s="7" t="n">
        <v>500</v>
      </c>
      <c r="E264" s="8" t="n">
        <v>298000</v>
      </c>
      <c r="F264" s="9" t="n">
        <v>81.9</v>
      </c>
      <c r="G264" s="10" t="n">
        <v>2229</v>
      </c>
      <c r="H264" s="11" t="n">
        <v>113836</v>
      </c>
      <c r="I264" s="12" t="n">
        <f aca="false">IFERROR(G264*1000/E264*1000,0)</f>
        <v>7479.86577181208</v>
      </c>
      <c r="J264" s="13" t="str">
        <f aca="false">IF(F264&gt;=95,"S",IF(F264&gt;=85,"A",IF(F264&gt;=70,"B",IF(F264&gt;=50,"C","D"))))</f>
        <v>B</v>
      </c>
      <c r="K264" s="14" t="s">
        <v>38</v>
      </c>
      <c r="L264" s="20" t="s">
        <v>36</v>
      </c>
    </row>
    <row r="265" customFormat="false" ht="15" hidden="false" customHeight="false" outlineLevel="0" collapsed="false">
      <c r="A265" s="4" t="s">
        <v>97</v>
      </c>
      <c r="B265" s="5" t="s">
        <v>25</v>
      </c>
      <c r="C265" s="6" t="s">
        <v>16</v>
      </c>
      <c r="D265" s="7" t="n">
        <v>500</v>
      </c>
      <c r="E265" s="8" t="n">
        <v>292000</v>
      </c>
      <c r="F265" s="9" t="n">
        <v>80</v>
      </c>
      <c r="G265" s="10" t="n">
        <v>2184</v>
      </c>
      <c r="H265" s="11" t="n">
        <v>111544</v>
      </c>
      <c r="I265" s="12" t="n">
        <f aca="false">IFERROR(G265*1000/E265*1000,0)</f>
        <v>7479.45205479452</v>
      </c>
      <c r="J265" s="13" t="str">
        <f aca="false">IF(F265&gt;=95,"S",IF(F265&gt;=85,"A",IF(F265&gt;=70,"B",IF(F265&gt;=50,"C","D"))))</f>
        <v>B</v>
      </c>
      <c r="K265" s="14" t="s">
        <v>17</v>
      </c>
      <c r="L265" s="19" t="s">
        <v>33</v>
      </c>
    </row>
    <row r="266" customFormat="false" ht="15" hidden="false" customHeight="false" outlineLevel="0" collapsed="false">
      <c r="A266" s="4" t="s">
        <v>97</v>
      </c>
      <c r="B266" s="5" t="s">
        <v>28</v>
      </c>
      <c r="C266" s="6" t="s">
        <v>16</v>
      </c>
      <c r="D266" s="7" t="n">
        <v>480</v>
      </c>
      <c r="E266" s="8" t="n">
        <v>300000</v>
      </c>
      <c r="F266" s="9" t="n">
        <v>85.9</v>
      </c>
      <c r="G266" s="10" t="n">
        <v>2244</v>
      </c>
      <c r="H266" s="11" t="n">
        <v>114600</v>
      </c>
      <c r="I266" s="12" t="n">
        <f aca="false">IFERROR(G266*1000/E266*1000,0)</f>
        <v>7480</v>
      </c>
      <c r="J266" s="13" t="str">
        <f aca="false">IF(F266&gt;=95,"S",IF(F266&gt;=85,"A",IF(F266&gt;=70,"B",IF(F266&gt;=50,"C","D"))))</f>
        <v>A</v>
      </c>
      <c r="K266" s="14" t="s">
        <v>38</v>
      </c>
      <c r="L266" s="19" t="s">
        <v>33</v>
      </c>
    </row>
    <row r="267" customFormat="false" ht="15" hidden="false" customHeight="false" outlineLevel="0" collapsed="false">
      <c r="A267" s="4" t="s">
        <v>97</v>
      </c>
      <c r="B267" s="5" t="s">
        <v>29</v>
      </c>
      <c r="C267" s="6" t="s">
        <v>16</v>
      </c>
      <c r="D267" s="7" t="n">
        <v>480</v>
      </c>
      <c r="E267" s="8" t="n">
        <v>303000</v>
      </c>
      <c r="F267" s="9" t="n">
        <v>86.5</v>
      </c>
      <c r="G267" s="10" t="n">
        <v>2266</v>
      </c>
      <c r="H267" s="11" t="n">
        <v>115746</v>
      </c>
      <c r="I267" s="12" t="n">
        <f aca="false">IFERROR(G267*1000/E267*1000,0)</f>
        <v>7478.54785478548</v>
      </c>
      <c r="J267" s="13" t="str">
        <f aca="false">IF(F267&gt;=95,"S",IF(F267&gt;=85,"A",IF(F267&gt;=70,"B",IF(F267&gt;=50,"C","D"))))</f>
        <v>A</v>
      </c>
      <c r="K267" s="14" t="s">
        <v>20</v>
      </c>
      <c r="L267" s="16" t="s">
        <v>21</v>
      </c>
    </row>
    <row r="268" customFormat="false" ht="15" hidden="false" customHeight="false" outlineLevel="0" collapsed="false">
      <c r="A268" s="4" t="s">
        <v>97</v>
      </c>
      <c r="B268" s="5" t="s">
        <v>31</v>
      </c>
      <c r="C268" s="6" t="s">
        <v>16</v>
      </c>
      <c r="D268" s="7" t="n">
        <v>495</v>
      </c>
      <c r="E268" s="8" t="n">
        <v>302000</v>
      </c>
      <c r="F268" s="9" t="n">
        <v>83.7</v>
      </c>
      <c r="G268" s="10" t="n">
        <v>2259</v>
      </c>
      <c r="H268" s="11" t="n">
        <v>115364</v>
      </c>
      <c r="I268" s="12" t="n">
        <f aca="false">IFERROR(G268*1000/E268*1000,0)</f>
        <v>7480.13245033113</v>
      </c>
      <c r="J268" s="13" t="str">
        <f aca="false">IF(F268&gt;=95,"S",IF(F268&gt;=85,"A",IF(F268&gt;=70,"B",IF(F268&gt;=50,"C","D"))))</f>
        <v>B</v>
      </c>
      <c r="K268" s="14" t="s">
        <v>38</v>
      </c>
      <c r="L268" s="19" t="s">
        <v>33</v>
      </c>
    </row>
    <row r="269" customFormat="false" ht="15" hidden="false" customHeight="false" outlineLevel="0" collapsed="false">
      <c r="A269" s="4" t="s">
        <v>97</v>
      </c>
      <c r="B269" s="5" t="s">
        <v>34</v>
      </c>
      <c r="C269" s="6" t="s">
        <v>16</v>
      </c>
      <c r="D269" s="7" t="n">
        <v>500</v>
      </c>
      <c r="E269" s="8" t="n">
        <v>301000</v>
      </c>
      <c r="F269" s="9" t="n">
        <v>82.5</v>
      </c>
      <c r="G269" s="10" t="n">
        <v>2251</v>
      </c>
      <c r="H269" s="11" t="n">
        <v>114982</v>
      </c>
      <c r="I269" s="12" t="n">
        <f aca="false">IFERROR(G269*1000/E269*1000,0)</f>
        <v>7478.40531561462</v>
      </c>
      <c r="J269" s="13" t="str">
        <f aca="false">IF(F269&gt;=95,"S",IF(F269&gt;=85,"A",IF(F269&gt;=70,"B",IF(F269&gt;=50,"C","D"))))</f>
        <v>B</v>
      </c>
      <c r="K269" s="14" t="s">
        <v>32</v>
      </c>
      <c r="L269" s="17" t="s">
        <v>27</v>
      </c>
    </row>
    <row r="270" customFormat="false" ht="15" hidden="false" customHeight="false" outlineLevel="0" collapsed="false">
      <c r="A270" s="4" t="s">
        <v>97</v>
      </c>
      <c r="B270" s="5" t="s">
        <v>37</v>
      </c>
      <c r="C270" s="6" t="s">
        <v>16</v>
      </c>
      <c r="D270" s="7" t="n">
        <v>520</v>
      </c>
      <c r="E270" s="8" t="n">
        <v>304000</v>
      </c>
      <c r="F270" s="9" t="n">
        <v>80.3</v>
      </c>
      <c r="G270" s="10" t="n">
        <v>2274</v>
      </c>
      <c r="H270" s="11" t="n">
        <v>116128</v>
      </c>
      <c r="I270" s="12" t="n">
        <f aca="false">IFERROR(G270*1000/E270*1000,0)</f>
        <v>7480.26315789474</v>
      </c>
      <c r="J270" s="13" t="str">
        <f aca="false">IF(F270&gt;=95,"S",IF(F270&gt;=85,"A",IF(F270&gt;=70,"B",IF(F270&gt;=50,"C","D"))))</f>
        <v>B</v>
      </c>
      <c r="K270" s="14" t="s">
        <v>44</v>
      </c>
      <c r="L270" s="15" t="s">
        <v>18</v>
      </c>
    </row>
    <row r="271" customFormat="false" ht="15" hidden="false" customHeight="false" outlineLevel="0" collapsed="false">
      <c r="A271" s="4" t="s">
        <v>97</v>
      </c>
      <c r="B271" s="5" t="s">
        <v>39</v>
      </c>
      <c r="C271" s="6" t="s">
        <v>16</v>
      </c>
      <c r="D271" s="7" t="n">
        <v>520</v>
      </c>
      <c r="E271" s="8" t="n">
        <v>311000</v>
      </c>
      <c r="F271" s="9" t="n">
        <v>82.1</v>
      </c>
      <c r="G271" s="10" t="n">
        <v>2326</v>
      </c>
      <c r="H271" s="11" t="n">
        <v>118802</v>
      </c>
      <c r="I271" s="12" t="n">
        <f aca="false">IFERROR(G271*1000/E271*1000,0)</f>
        <v>7479.09967845659</v>
      </c>
      <c r="J271" s="13" t="str">
        <f aca="false">IF(F271&gt;=95,"S",IF(F271&gt;=85,"A",IF(F271&gt;=70,"B",IF(F271&gt;=50,"C","D"))))</f>
        <v>B</v>
      </c>
      <c r="K271" s="14" t="s">
        <v>30</v>
      </c>
      <c r="L271" s="16" t="s">
        <v>21</v>
      </c>
    </row>
    <row r="272" customFormat="false" ht="15" hidden="false" customHeight="false" outlineLevel="0" collapsed="false">
      <c r="A272" s="4" t="s">
        <v>97</v>
      </c>
      <c r="B272" s="5" t="s">
        <v>40</v>
      </c>
      <c r="C272" s="6" t="s">
        <v>16</v>
      </c>
      <c r="D272" s="7" t="n">
        <v>530</v>
      </c>
      <c r="E272" s="8" t="n">
        <v>321000</v>
      </c>
      <c r="F272" s="9" t="n">
        <v>83</v>
      </c>
      <c r="G272" s="10" t="n">
        <v>2401</v>
      </c>
      <c r="H272" s="11" t="n">
        <v>122622</v>
      </c>
      <c r="I272" s="12" t="n">
        <f aca="false">IFERROR(G272*1000/E272*1000,0)</f>
        <v>7479.7507788162</v>
      </c>
      <c r="J272" s="13" t="str">
        <f aca="false">IF(F272&gt;=95,"S",IF(F272&gt;=85,"A",IF(F272&gt;=70,"B",IF(F272&gt;=50,"C","D"))))</f>
        <v>B</v>
      </c>
      <c r="K272" s="14" t="s">
        <v>38</v>
      </c>
      <c r="L272" s="15" t="s">
        <v>18</v>
      </c>
    </row>
    <row r="273" customFormat="false" ht="15" hidden="false" customHeight="false" outlineLevel="0" collapsed="false">
      <c r="A273" s="4" t="s">
        <v>97</v>
      </c>
      <c r="B273" s="5" t="s">
        <v>41</v>
      </c>
      <c r="C273" s="6" t="s">
        <v>16</v>
      </c>
      <c r="D273" s="7" t="n">
        <v>510</v>
      </c>
      <c r="E273" s="8" t="n">
        <v>318000</v>
      </c>
      <c r="F273" s="9" t="n">
        <v>85.5</v>
      </c>
      <c r="G273" s="10" t="n">
        <v>2379</v>
      </c>
      <c r="H273" s="11" t="n">
        <v>121476</v>
      </c>
      <c r="I273" s="12" t="n">
        <f aca="false">IFERROR(G273*1000/E273*1000,0)</f>
        <v>7481.1320754717</v>
      </c>
      <c r="J273" s="13" t="str">
        <f aca="false">IF(F273&gt;=95,"S",IF(F273&gt;=85,"A",IF(F273&gt;=70,"B",IF(F273&gt;=50,"C","D"))))</f>
        <v>A</v>
      </c>
      <c r="K273" s="14" t="s">
        <v>17</v>
      </c>
      <c r="L273" s="15" t="s">
        <v>18</v>
      </c>
    </row>
    <row r="274" customFormat="false" ht="15" hidden="false" customHeight="false" outlineLevel="0" collapsed="false">
      <c r="A274" s="4" t="s">
        <v>97</v>
      </c>
      <c r="B274" s="5" t="s">
        <v>42</v>
      </c>
      <c r="C274" s="6" t="s">
        <v>16</v>
      </c>
      <c r="D274" s="7" t="n">
        <v>510</v>
      </c>
      <c r="E274" s="8" t="n">
        <v>321000</v>
      </c>
      <c r="F274" s="9" t="n">
        <v>86.3</v>
      </c>
      <c r="G274" s="10" t="n">
        <v>2401</v>
      </c>
      <c r="H274" s="11" t="n">
        <v>122622</v>
      </c>
      <c r="I274" s="12" t="n">
        <f aca="false">IFERROR(G274*1000/E274*1000,0)</f>
        <v>7479.7507788162</v>
      </c>
      <c r="J274" s="13" t="str">
        <f aca="false">IF(F274&gt;=95,"S",IF(F274&gt;=85,"A",IF(F274&gt;=70,"B",IF(F274&gt;=50,"C","D"))))</f>
        <v>A</v>
      </c>
      <c r="K274" s="14" t="s">
        <v>30</v>
      </c>
      <c r="L274" s="16" t="s">
        <v>21</v>
      </c>
    </row>
    <row r="275" customFormat="false" ht="15" hidden="false" customHeight="false" outlineLevel="0" collapsed="false">
      <c r="A275" s="4" t="s">
        <v>97</v>
      </c>
      <c r="B275" s="5" t="s">
        <v>43</v>
      </c>
      <c r="C275" s="6" t="s">
        <v>16</v>
      </c>
      <c r="D275" s="7" t="n">
        <v>495</v>
      </c>
      <c r="E275" s="8" t="n">
        <v>289000</v>
      </c>
      <c r="F275" s="9" t="n">
        <v>80.2</v>
      </c>
      <c r="G275" s="10" t="n">
        <v>2162</v>
      </c>
      <c r="H275" s="11" t="n">
        <v>110398</v>
      </c>
      <c r="I275" s="12" t="n">
        <f aca="false">IFERROR(G275*1000/E275*1000,0)</f>
        <v>7480.96885813149</v>
      </c>
      <c r="J275" s="13" t="str">
        <f aca="false">IF(F275&gt;=95,"S",IF(F275&gt;=85,"A",IF(F275&gt;=70,"B",IF(F275&gt;=50,"C","D"))))</f>
        <v>B</v>
      </c>
      <c r="K275" s="14" t="s">
        <v>23</v>
      </c>
      <c r="L275" s="16" t="s">
        <v>21</v>
      </c>
    </row>
    <row r="276" customFormat="false" ht="15" hidden="false" customHeight="false" outlineLevel="0" collapsed="false">
      <c r="A276" s="4" t="s">
        <v>97</v>
      </c>
      <c r="B276" s="21" t="s">
        <v>45</v>
      </c>
      <c r="C276" s="22" t="s">
        <v>46</v>
      </c>
      <c r="D276" s="7" t="n">
        <v>200</v>
      </c>
      <c r="E276" s="8" t="n">
        <v>122000</v>
      </c>
      <c r="F276" s="9" t="n">
        <v>84.1</v>
      </c>
      <c r="G276" s="10" t="n">
        <v>905</v>
      </c>
      <c r="H276" s="11" t="n">
        <v>36722</v>
      </c>
      <c r="I276" s="12" t="n">
        <f aca="false">IFERROR(G276*1000/E276*1000,0)</f>
        <v>7418.03278688525</v>
      </c>
      <c r="J276" s="13" t="str">
        <f aca="false">IF(F276&gt;=95,"S",IF(F276&gt;=85,"A",IF(F276&gt;=70,"B",IF(F276&gt;=50,"C","D"))))</f>
        <v>B</v>
      </c>
      <c r="K276" s="14" t="s">
        <v>47</v>
      </c>
      <c r="L276" s="17" t="s">
        <v>27</v>
      </c>
    </row>
    <row r="277" customFormat="false" ht="15" hidden="false" customHeight="false" outlineLevel="0" collapsed="false">
      <c r="A277" s="4" t="s">
        <v>97</v>
      </c>
      <c r="B277" s="21" t="s">
        <v>48</v>
      </c>
      <c r="C277" s="22" t="s">
        <v>46</v>
      </c>
      <c r="D277" s="7" t="n">
        <v>220</v>
      </c>
      <c r="E277" s="8" t="n">
        <v>135000</v>
      </c>
      <c r="F277" s="9" t="n">
        <v>84.4</v>
      </c>
      <c r="G277" s="10" t="n">
        <v>1002</v>
      </c>
      <c r="H277" s="11" t="n">
        <v>40635</v>
      </c>
      <c r="I277" s="12" t="n">
        <f aca="false">IFERROR(G277*1000/E277*1000,0)</f>
        <v>7422.22222222222</v>
      </c>
      <c r="J277" s="13" t="str">
        <f aca="false">IF(F277&gt;=95,"S",IF(F277&gt;=85,"A",IF(F277&gt;=70,"B",IF(F277&gt;=50,"C","D"))))</f>
        <v>B</v>
      </c>
      <c r="K277" s="14" t="s">
        <v>92</v>
      </c>
      <c r="L277" s="17" t="s">
        <v>27</v>
      </c>
    </row>
    <row r="278" customFormat="false" ht="15" hidden="false" customHeight="false" outlineLevel="0" collapsed="false">
      <c r="A278" s="4" t="s">
        <v>97</v>
      </c>
      <c r="B278" s="5" t="s">
        <v>50</v>
      </c>
      <c r="C278" s="23" t="s">
        <v>51</v>
      </c>
      <c r="D278" s="7" t="n">
        <v>147</v>
      </c>
      <c r="E278" s="8" t="n">
        <v>47000</v>
      </c>
      <c r="F278" s="9" t="n">
        <v>43.8</v>
      </c>
      <c r="G278" s="10" t="n">
        <v>0</v>
      </c>
      <c r="H278" s="11" t="n">
        <v>0</v>
      </c>
      <c r="I278" s="12" t="n">
        <v>0</v>
      </c>
      <c r="J278" s="13" t="str">
        <f aca="false">IF(F278&gt;=95,"S",IF(F278&gt;=85,"A",IF(F278&gt;=70,"B",IF(F278&gt;=50,"C","D"))))</f>
        <v>D</v>
      </c>
      <c r="K278" s="24" t="s">
        <v>54</v>
      </c>
      <c r="L278" s="19" t="s">
        <v>33</v>
      </c>
    </row>
    <row r="279" customFormat="false" ht="15" hidden="false" customHeight="false" outlineLevel="0" collapsed="false">
      <c r="A279" s="4" t="s">
        <v>97</v>
      </c>
      <c r="B279" s="5" t="s">
        <v>53</v>
      </c>
      <c r="C279" s="23" t="s">
        <v>51</v>
      </c>
      <c r="D279" s="7" t="n">
        <v>320</v>
      </c>
      <c r="E279" s="8" t="n">
        <v>91000</v>
      </c>
      <c r="F279" s="9" t="n">
        <v>39</v>
      </c>
      <c r="G279" s="10" t="n">
        <v>0</v>
      </c>
      <c r="H279" s="11" t="n">
        <v>0</v>
      </c>
      <c r="I279" s="12" t="n">
        <v>0</v>
      </c>
      <c r="J279" s="13" t="str">
        <f aca="false">IF(F279&gt;=95,"S",IF(F279&gt;=85,"A",IF(F279&gt;=70,"B",IF(F279&gt;=50,"C","D"))))</f>
        <v>D</v>
      </c>
      <c r="K279" s="14" t="s">
        <v>60</v>
      </c>
      <c r="L279" s="16" t="s">
        <v>21</v>
      </c>
    </row>
    <row r="280" customFormat="false" ht="15" hidden="false" customHeight="false" outlineLevel="0" collapsed="false">
      <c r="A280" s="4" t="s">
        <v>97</v>
      </c>
      <c r="B280" s="5" t="s">
        <v>55</v>
      </c>
      <c r="C280" s="23" t="s">
        <v>51</v>
      </c>
      <c r="D280" s="7" t="n">
        <v>250</v>
      </c>
      <c r="E280" s="8" t="n">
        <v>62000</v>
      </c>
      <c r="F280" s="9" t="n">
        <v>34.3</v>
      </c>
      <c r="G280" s="10" t="n">
        <v>0</v>
      </c>
      <c r="H280" s="11" t="n">
        <v>0</v>
      </c>
      <c r="I280" s="12" t="n">
        <v>0</v>
      </c>
      <c r="J280" s="13" t="str">
        <f aca="false">IF(F280&gt;=95,"S",IF(F280&gt;=85,"A",IF(F280&gt;=70,"B",IF(F280&gt;=50,"C","D"))))</f>
        <v>D</v>
      </c>
      <c r="K280" s="14" t="s">
        <v>52</v>
      </c>
      <c r="L280" s="20" t="s">
        <v>36</v>
      </c>
    </row>
    <row r="281" customFormat="false" ht="15" hidden="false" customHeight="false" outlineLevel="0" collapsed="false">
      <c r="A281" s="4" t="s">
        <v>97</v>
      </c>
      <c r="B281" s="5" t="s">
        <v>57</v>
      </c>
      <c r="C281" s="23" t="s">
        <v>51</v>
      </c>
      <c r="D281" s="7" t="n">
        <v>180</v>
      </c>
      <c r="E281" s="8" t="n">
        <v>44000</v>
      </c>
      <c r="F281" s="9" t="n">
        <v>33.8</v>
      </c>
      <c r="G281" s="10" t="n">
        <v>0</v>
      </c>
      <c r="H281" s="11" t="n">
        <v>0</v>
      </c>
      <c r="I281" s="12" t="n">
        <v>0</v>
      </c>
      <c r="J281" s="13" t="str">
        <f aca="false">IF(F281&gt;=95,"S",IF(F281&gt;=85,"A",IF(F281&gt;=70,"B",IF(F281&gt;=50,"C","D"))))</f>
        <v>D</v>
      </c>
      <c r="K281" s="24" t="s">
        <v>56</v>
      </c>
      <c r="L281" s="16" t="s">
        <v>21</v>
      </c>
    </row>
    <row r="282" customFormat="false" ht="15" hidden="false" customHeight="false" outlineLevel="0" collapsed="false">
      <c r="A282" s="4" t="s">
        <v>97</v>
      </c>
      <c r="B282" s="5" t="s">
        <v>58</v>
      </c>
      <c r="C282" s="23" t="s">
        <v>51</v>
      </c>
      <c r="D282" s="7" t="n">
        <v>95</v>
      </c>
      <c r="E282" s="8" t="n">
        <v>22000</v>
      </c>
      <c r="F282" s="9" t="n">
        <v>32.9</v>
      </c>
      <c r="G282" s="10" t="n">
        <v>0</v>
      </c>
      <c r="H282" s="11" t="n">
        <v>0</v>
      </c>
      <c r="I282" s="12" t="n">
        <v>0</v>
      </c>
      <c r="J282" s="13" t="str">
        <f aca="false">IF(F282&gt;=95,"S",IF(F282&gt;=85,"A",IF(F282&gt;=70,"B",IF(F282&gt;=50,"C","D"))))</f>
        <v>D</v>
      </c>
      <c r="K282" s="18"/>
      <c r="L282" s="16" t="s">
        <v>21</v>
      </c>
    </row>
    <row r="283" customFormat="false" ht="15" hidden="false" customHeight="false" outlineLevel="0" collapsed="false">
      <c r="A283" s="4" t="s">
        <v>97</v>
      </c>
      <c r="B283" s="5" t="s">
        <v>59</v>
      </c>
      <c r="C283" s="23" t="s">
        <v>51</v>
      </c>
      <c r="D283" s="7" t="n">
        <v>32</v>
      </c>
      <c r="E283" s="8" t="n">
        <v>3000</v>
      </c>
      <c r="F283" s="9" t="n">
        <v>16.9</v>
      </c>
      <c r="G283" s="10" t="n">
        <v>0</v>
      </c>
      <c r="H283" s="11" t="n">
        <v>0</v>
      </c>
      <c r="I283" s="12" t="n">
        <v>0</v>
      </c>
      <c r="J283" s="13" t="str">
        <f aca="false">IF(F283&gt;=95,"S",IF(F283&gt;=85,"A",IF(F283&gt;=70,"B",IF(F283&gt;=50,"C","D"))))</f>
        <v>D</v>
      </c>
      <c r="K283" s="24" t="s">
        <v>56</v>
      </c>
      <c r="L283" s="16" t="s">
        <v>21</v>
      </c>
    </row>
    <row r="284" customFormat="false" ht="15" hidden="false" customHeight="false" outlineLevel="0" collapsed="false">
      <c r="A284" s="4" t="s">
        <v>97</v>
      </c>
      <c r="B284" s="5" t="s">
        <v>61</v>
      </c>
      <c r="C284" s="23" t="s">
        <v>51</v>
      </c>
      <c r="D284" s="7" t="n">
        <v>220</v>
      </c>
      <c r="E284" s="8" t="n">
        <v>26000</v>
      </c>
      <c r="F284" s="9" t="n">
        <v>16.8</v>
      </c>
      <c r="G284" s="10" t="n">
        <v>0</v>
      </c>
      <c r="H284" s="11" t="n">
        <v>0</v>
      </c>
      <c r="I284" s="12" t="n">
        <v>0</v>
      </c>
      <c r="J284" s="13" t="str">
        <f aca="false">IF(F284&gt;=95,"S",IF(F284&gt;=85,"A",IF(F284&gt;=70,"B",IF(F284&gt;=50,"C","D"))))</f>
        <v>D</v>
      </c>
      <c r="K284" s="14" t="s">
        <v>82</v>
      </c>
      <c r="L284" s="16" t="s">
        <v>21</v>
      </c>
    </row>
    <row r="285" customFormat="false" ht="15" hidden="false" customHeight="false" outlineLevel="0" collapsed="false">
      <c r="A285" s="4" t="s">
        <v>97</v>
      </c>
      <c r="B285" s="5" t="s">
        <v>62</v>
      </c>
      <c r="C285" s="23" t="s">
        <v>51</v>
      </c>
      <c r="D285" s="7" t="n">
        <v>85</v>
      </c>
      <c r="E285" s="8" t="n">
        <v>9000</v>
      </c>
      <c r="F285" s="9" t="n">
        <v>14.8</v>
      </c>
      <c r="G285" s="10" t="n">
        <v>0</v>
      </c>
      <c r="H285" s="11" t="n">
        <v>0</v>
      </c>
      <c r="I285" s="12" t="n">
        <v>0</v>
      </c>
      <c r="J285" s="13" t="str">
        <f aca="false">IF(F285&gt;=95,"S",IF(F285&gt;=85,"A",IF(F285&gt;=70,"B",IF(F285&gt;=50,"C","D"))))</f>
        <v>D</v>
      </c>
      <c r="K285" s="14" t="s">
        <v>67</v>
      </c>
      <c r="L285" s="16" t="s">
        <v>21</v>
      </c>
    </row>
    <row r="286" customFormat="false" ht="15" hidden="false" customHeight="false" outlineLevel="0" collapsed="false">
      <c r="A286" s="4" t="s">
        <v>97</v>
      </c>
      <c r="B286" s="5" t="s">
        <v>64</v>
      </c>
      <c r="C286" s="23" t="s">
        <v>51</v>
      </c>
      <c r="D286" s="7" t="n">
        <v>60</v>
      </c>
      <c r="E286" s="8" t="n">
        <v>6000</v>
      </c>
      <c r="F286" s="9" t="n">
        <v>14.8</v>
      </c>
      <c r="G286" s="10" t="n">
        <v>0</v>
      </c>
      <c r="H286" s="11" t="n">
        <v>0</v>
      </c>
      <c r="I286" s="12" t="n">
        <v>0</v>
      </c>
      <c r="J286" s="13" t="str">
        <f aca="false">IF(F286&gt;=95,"S",IF(F286&gt;=85,"A",IF(F286&gt;=70,"B",IF(F286&gt;=50,"C","D"))))</f>
        <v>D</v>
      </c>
      <c r="K286" s="14" t="s">
        <v>67</v>
      </c>
      <c r="L286" s="16" t="s">
        <v>21</v>
      </c>
    </row>
    <row r="287" customFormat="false" ht="15" hidden="false" customHeight="false" outlineLevel="0" collapsed="false">
      <c r="A287" s="4" t="s">
        <v>97</v>
      </c>
      <c r="B287" s="5" t="s">
        <v>66</v>
      </c>
      <c r="C287" s="23" t="s">
        <v>51</v>
      </c>
      <c r="D287" s="7" t="n">
        <v>75</v>
      </c>
      <c r="E287" s="8" t="n">
        <v>8000</v>
      </c>
      <c r="F287" s="9" t="n">
        <v>15.2</v>
      </c>
      <c r="G287" s="10" t="n">
        <v>0</v>
      </c>
      <c r="H287" s="11" t="n">
        <v>0</v>
      </c>
      <c r="I287" s="12" t="n">
        <v>0</v>
      </c>
      <c r="J287" s="13" t="str">
        <f aca="false">IF(F287&gt;=95,"S",IF(F287&gt;=85,"A",IF(F287&gt;=70,"B",IF(F287&gt;=50,"C","D"))))</f>
        <v>D</v>
      </c>
      <c r="K287" s="24" t="s">
        <v>56</v>
      </c>
      <c r="L287" s="16" t="s">
        <v>21</v>
      </c>
    </row>
    <row r="288" customFormat="false" ht="15" hidden="false" customHeight="false" outlineLevel="0" collapsed="false">
      <c r="A288" s="4" t="s">
        <v>97</v>
      </c>
      <c r="B288" s="5" t="s">
        <v>68</v>
      </c>
      <c r="C288" s="25" t="s">
        <v>69</v>
      </c>
      <c r="D288" s="7" t="n">
        <v>460</v>
      </c>
      <c r="E288" s="8" t="n">
        <v>252000</v>
      </c>
      <c r="F288" s="9" t="n">
        <v>75.2</v>
      </c>
      <c r="G288" s="10" t="n">
        <v>1726</v>
      </c>
      <c r="H288" s="11" t="n">
        <v>66780</v>
      </c>
      <c r="I288" s="12" t="n">
        <f aca="false">IFERROR(G288*1000/E288*1000,0)</f>
        <v>6849.20634920635</v>
      </c>
      <c r="J288" s="13" t="str">
        <f aca="false">IF(F288&gt;=95,"S",IF(F288&gt;=85,"A",IF(F288&gt;=70,"B",IF(F288&gt;=50,"C","D"))))</f>
        <v>B</v>
      </c>
      <c r="K288" s="14" t="s">
        <v>94</v>
      </c>
      <c r="L288" s="16" t="s">
        <v>21</v>
      </c>
    </row>
    <row r="289" customFormat="false" ht="15" hidden="false" customHeight="false" outlineLevel="0" collapsed="false">
      <c r="A289" s="4" t="s">
        <v>97</v>
      </c>
      <c r="B289" s="5" t="s">
        <v>71</v>
      </c>
      <c r="C289" s="25" t="s">
        <v>69</v>
      </c>
      <c r="D289" s="7" t="n">
        <v>460</v>
      </c>
      <c r="E289" s="8" t="n">
        <v>256000</v>
      </c>
      <c r="F289" s="9" t="n">
        <v>76.3</v>
      </c>
      <c r="G289" s="10" t="n">
        <v>1754</v>
      </c>
      <c r="H289" s="11" t="n">
        <v>67840</v>
      </c>
      <c r="I289" s="12" t="n">
        <f aca="false">IFERROR(G289*1000/E289*1000,0)</f>
        <v>6851.5625</v>
      </c>
      <c r="J289" s="13" t="str">
        <f aca="false">IF(F289&gt;=95,"S",IF(F289&gt;=85,"A",IF(F289&gt;=70,"B",IF(F289&gt;=50,"C","D"))))</f>
        <v>B</v>
      </c>
      <c r="K289" s="14" t="s">
        <v>94</v>
      </c>
      <c r="L289" s="16" t="s">
        <v>21</v>
      </c>
    </row>
    <row r="290" customFormat="false" ht="15" hidden="false" customHeight="false" outlineLevel="0" collapsed="false">
      <c r="A290" s="4" t="s">
        <v>97</v>
      </c>
      <c r="B290" s="5" t="s">
        <v>73</v>
      </c>
      <c r="C290" s="26" t="s">
        <v>74</v>
      </c>
      <c r="D290" s="7" t="n">
        <v>80</v>
      </c>
      <c r="E290" s="8" t="n">
        <v>25000</v>
      </c>
      <c r="F290" s="9" t="n">
        <v>43.8</v>
      </c>
      <c r="G290" s="10" t="n">
        <v>0</v>
      </c>
      <c r="H290" s="11" t="n">
        <v>0</v>
      </c>
      <c r="I290" s="12" t="n">
        <v>0</v>
      </c>
      <c r="J290" s="13" t="str">
        <f aca="false">IF(F290&gt;=95,"S",IF(F290&gt;=85,"A",IF(F290&gt;=70,"B",IF(F290&gt;=50,"C","D"))))</f>
        <v>D</v>
      </c>
      <c r="K290" s="14" t="s">
        <v>75</v>
      </c>
      <c r="L290" s="19" t="s">
        <v>33</v>
      </c>
    </row>
    <row r="291" customFormat="false" ht="15" hidden="false" customHeight="false" outlineLevel="0" collapsed="false">
      <c r="A291" s="4" t="s">
        <v>97</v>
      </c>
      <c r="B291" s="5" t="s">
        <v>76</v>
      </c>
      <c r="C291" s="26" t="s">
        <v>74</v>
      </c>
      <c r="D291" s="7" t="n">
        <v>80</v>
      </c>
      <c r="E291" s="8" t="n">
        <v>24000</v>
      </c>
      <c r="F291" s="9" t="n">
        <v>41.9</v>
      </c>
      <c r="G291" s="10" t="n">
        <v>0</v>
      </c>
      <c r="H291" s="11" t="n">
        <v>0</v>
      </c>
      <c r="I291" s="12" t="n">
        <v>0</v>
      </c>
      <c r="J291" s="13" t="str">
        <f aca="false">IF(F291&gt;=95,"S",IF(F291&gt;=85,"A",IF(F291&gt;=70,"B",IF(F291&gt;=50,"C","D"))))</f>
        <v>D</v>
      </c>
      <c r="K291" s="14" t="s">
        <v>77</v>
      </c>
      <c r="L291" s="15" t="s">
        <v>18</v>
      </c>
    </row>
    <row r="292" customFormat="false" ht="15" hidden="false" customHeight="false" outlineLevel="0" collapsed="false">
      <c r="A292" s="4" t="s">
        <v>97</v>
      </c>
      <c r="B292" s="5" t="s">
        <v>78</v>
      </c>
      <c r="C292" s="26" t="s">
        <v>74</v>
      </c>
      <c r="D292" s="7" t="n">
        <v>100</v>
      </c>
      <c r="E292" s="8" t="n">
        <v>26000</v>
      </c>
      <c r="F292" s="9" t="n">
        <v>35.9</v>
      </c>
      <c r="G292" s="10" t="n">
        <v>0</v>
      </c>
      <c r="H292" s="11" t="n">
        <v>0</v>
      </c>
      <c r="I292" s="12" t="n">
        <v>0</v>
      </c>
      <c r="J292" s="13" t="str">
        <f aca="false">IF(F292&gt;=95,"S",IF(F292&gt;=85,"A",IF(F292&gt;=70,"B",IF(F292&gt;=50,"C","D"))))</f>
        <v>D</v>
      </c>
      <c r="K292" s="14" t="s">
        <v>89</v>
      </c>
      <c r="L292" s="20" t="s">
        <v>36</v>
      </c>
    </row>
    <row r="293" customFormat="false" ht="15" hidden="false" customHeight="false" outlineLevel="0" collapsed="false">
      <c r="A293" s="4" t="s">
        <v>98</v>
      </c>
      <c r="B293" s="27" t="s">
        <v>15</v>
      </c>
      <c r="C293" s="6" t="s">
        <v>16</v>
      </c>
      <c r="D293" s="28" t="n">
        <v>500</v>
      </c>
      <c r="E293" s="29" t="n">
        <v>259000</v>
      </c>
      <c r="F293" s="30" t="n">
        <v>71</v>
      </c>
      <c r="G293" s="31" t="n">
        <v>1937</v>
      </c>
      <c r="H293" s="32" t="n">
        <v>98938</v>
      </c>
      <c r="I293" s="33" t="n">
        <f aca="false">IFERROR(G293*1000/E293*1000,0)</f>
        <v>7478.76447876448</v>
      </c>
      <c r="J293" s="13" t="str">
        <f aca="false">IF(F293&gt;=95,"S",IF(F293&gt;=85,"A",IF(F293&gt;=70,"B",IF(F293&gt;=50,"C","D"))))</f>
        <v>B</v>
      </c>
      <c r="K293" s="14" t="s">
        <v>17</v>
      </c>
      <c r="L293" s="19" t="s">
        <v>33</v>
      </c>
    </row>
    <row r="294" customFormat="false" ht="15" hidden="false" customHeight="false" outlineLevel="0" collapsed="false">
      <c r="A294" s="4" t="s">
        <v>98</v>
      </c>
      <c r="B294" s="27" t="s">
        <v>19</v>
      </c>
      <c r="C294" s="6" t="s">
        <v>16</v>
      </c>
      <c r="D294" s="28" t="n">
        <v>500</v>
      </c>
      <c r="E294" s="29" t="n">
        <v>260000</v>
      </c>
      <c r="F294" s="30" t="n">
        <v>71.3</v>
      </c>
      <c r="G294" s="31" t="n">
        <v>1945</v>
      </c>
      <c r="H294" s="32" t="n">
        <v>99320</v>
      </c>
      <c r="I294" s="33" t="n">
        <f aca="false">IFERROR(G294*1000/E294*1000,0)</f>
        <v>7480.76923076923</v>
      </c>
      <c r="J294" s="13" t="str">
        <f aca="false">IF(F294&gt;=95,"S",IF(F294&gt;=85,"A",IF(F294&gt;=70,"B",IF(F294&gt;=50,"C","D"))))</f>
        <v>B</v>
      </c>
      <c r="K294" s="14" t="s">
        <v>30</v>
      </c>
      <c r="L294" s="16" t="s">
        <v>21</v>
      </c>
    </row>
    <row r="295" customFormat="false" ht="15" hidden="false" customHeight="false" outlineLevel="0" collapsed="false">
      <c r="A295" s="4" t="s">
        <v>98</v>
      </c>
      <c r="B295" s="27" t="s">
        <v>22</v>
      </c>
      <c r="C295" s="6" t="s">
        <v>16</v>
      </c>
      <c r="D295" s="28" t="n">
        <v>512</v>
      </c>
      <c r="E295" s="29" t="n">
        <v>268000</v>
      </c>
      <c r="F295" s="30" t="n">
        <v>71.7</v>
      </c>
      <c r="G295" s="31" t="n">
        <v>2005</v>
      </c>
      <c r="H295" s="32" t="n">
        <v>102376</v>
      </c>
      <c r="I295" s="33" t="n">
        <f aca="false">IFERROR(G295*1000/E295*1000,0)</f>
        <v>7481.34328358209</v>
      </c>
      <c r="J295" s="13" t="str">
        <f aca="false">IF(F295&gt;=95,"S",IF(F295&gt;=85,"A",IF(F295&gt;=70,"B",IF(F295&gt;=50,"C","D"))))</f>
        <v>B</v>
      </c>
      <c r="K295" s="14" t="s">
        <v>38</v>
      </c>
      <c r="L295" s="16" t="s">
        <v>21</v>
      </c>
    </row>
    <row r="296" customFormat="false" ht="15" hidden="false" customHeight="false" outlineLevel="0" collapsed="false">
      <c r="A296" s="4" t="s">
        <v>98</v>
      </c>
      <c r="B296" s="27" t="s">
        <v>24</v>
      </c>
      <c r="C296" s="6" t="s">
        <v>16</v>
      </c>
      <c r="D296" s="28" t="n">
        <v>500</v>
      </c>
      <c r="E296" s="29" t="n">
        <v>259000</v>
      </c>
      <c r="F296" s="30" t="n">
        <v>71.2</v>
      </c>
      <c r="G296" s="31" t="n">
        <v>1937</v>
      </c>
      <c r="H296" s="32" t="n">
        <v>98938</v>
      </c>
      <c r="I296" s="33" t="n">
        <f aca="false">IFERROR(G296*1000/E296*1000,0)</f>
        <v>7478.76447876448</v>
      </c>
      <c r="J296" s="13" t="str">
        <f aca="false">IF(F296&gt;=95,"S",IF(F296&gt;=85,"A",IF(F296&gt;=70,"B",IF(F296&gt;=50,"C","D"))))</f>
        <v>B</v>
      </c>
      <c r="K296" s="14" t="s">
        <v>44</v>
      </c>
      <c r="L296" s="17" t="s">
        <v>27</v>
      </c>
    </row>
    <row r="297" customFormat="false" ht="15" hidden="false" customHeight="false" outlineLevel="0" collapsed="false">
      <c r="A297" s="4" t="s">
        <v>98</v>
      </c>
      <c r="B297" s="27" t="s">
        <v>25</v>
      </c>
      <c r="C297" s="6" t="s">
        <v>16</v>
      </c>
      <c r="D297" s="28" t="n">
        <v>500</v>
      </c>
      <c r="E297" s="29" t="n">
        <v>244000</v>
      </c>
      <c r="F297" s="30" t="n">
        <v>67.1</v>
      </c>
      <c r="G297" s="31" t="n">
        <v>1825</v>
      </c>
      <c r="H297" s="32" t="n">
        <v>93208</v>
      </c>
      <c r="I297" s="33" t="n">
        <f aca="false">IFERROR(G297*1000/E297*1000,0)</f>
        <v>7479.50819672131</v>
      </c>
      <c r="J297" s="13" t="str">
        <f aca="false">IF(F297&gt;=95,"S",IF(F297&gt;=85,"A",IF(F297&gt;=70,"B",IF(F297&gt;=50,"C","D"))))</f>
        <v>C</v>
      </c>
      <c r="K297" s="14" t="s">
        <v>23</v>
      </c>
      <c r="L297" s="15" t="s">
        <v>18</v>
      </c>
    </row>
    <row r="298" customFormat="false" ht="15" hidden="false" customHeight="false" outlineLevel="0" collapsed="false">
      <c r="A298" s="4" t="s">
        <v>98</v>
      </c>
      <c r="B298" s="27" t="s">
        <v>28</v>
      </c>
      <c r="C298" s="6" t="s">
        <v>16</v>
      </c>
      <c r="D298" s="28" t="n">
        <v>480</v>
      </c>
      <c r="E298" s="29" t="n">
        <v>237000</v>
      </c>
      <c r="F298" s="30" t="n">
        <v>67.8</v>
      </c>
      <c r="G298" s="31" t="n">
        <v>1773</v>
      </c>
      <c r="H298" s="32" t="n">
        <v>90534</v>
      </c>
      <c r="I298" s="33" t="n">
        <f aca="false">IFERROR(G298*1000/E298*1000,0)</f>
        <v>7481.01265822785</v>
      </c>
      <c r="J298" s="13" t="str">
        <f aca="false">IF(F298&gt;=95,"S",IF(F298&gt;=85,"A",IF(F298&gt;=70,"B",IF(F298&gt;=50,"C","D"))))</f>
        <v>C</v>
      </c>
      <c r="K298" s="14" t="s">
        <v>17</v>
      </c>
      <c r="L298" s="16" t="s">
        <v>21</v>
      </c>
    </row>
    <row r="299" customFormat="false" ht="15" hidden="false" customHeight="false" outlineLevel="0" collapsed="false">
      <c r="A299" s="4" t="s">
        <v>98</v>
      </c>
      <c r="B299" s="27" t="s">
        <v>29</v>
      </c>
      <c r="C299" s="6" t="s">
        <v>16</v>
      </c>
      <c r="D299" s="28" t="n">
        <v>480</v>
      </c>
      <c r="E299" s="29" t="n">
        <v>245000</v>
      </c>
      <c r="F299" s="30" t="n">
        <v>70</v>
      </c>
      <c r="G299" s="31" t="n">
        <v>1833</v>
      </c>
      <c r="H299" s="32" t="n">
        <v>93590</v>
      </c>
      <c r="I299" s="33" t="n">
        <f aca="false">IFERROR(G299*1000/E299*1000,0)</f>
        <v>7481.63265306122</v>
      </c>
      <c r="J299" s="13" t="str">
        <f aca="false">IF(F299&gt;=95,"S",IF(F299&gt;=85,"A",IF(F299&gt;=70,"B",IF(F299&gt;=50,"C","D"))))</f>
        <v>B</v>
      </c>
      <c r="K299" s="14" t="s">
        <v>35</v>
      </c>
      <c r="L299" s="17" t="s">
        <v>27</v>
      </c>
    </row>
    <row r="300" customFormat="false" ht="15" hidden="false" customHeight="false" outlineLevel="0" collapsed="false">
      <c r="A300" s="4" t="s">
        <v>98</v>
      </c>
      <c r="B300" s="27" t="s">
        <v>31</v>
      </c>
      <c r="C300" s="6" t="s">
        <v>16</v>
      </c>
      <c r="D300" s="28" t="n">
        <v>495</v>
      </c>
      <c r="E300" s="29" t="n">
        <v>243000</v>
      </c>
      <c r="F300" s="30" t="n">
        <v>67.3</v>
      </c>
      <c r="G300" s="31" t="n">
        <v>1818</v>
      </c>
      <c r="H300" s="32" t="n">
        <v>92826</v>
      </c>
      <c r="I300" s="33" t="n">
        <f aca="false">IFERROR(G300*1000/E300*1000,0)</f>
        <v>7481.48148148148</v>
      </c>
      <c r="J300" s="13" t="str">
        <f aca="false">IF(F300&gt;=95,"S",IF(F300&gt;=85,"A",IF(F300&gt;=70,"B",IF(F300&gt;=50,"C","D"))))</f>
        <v>C</v>
      </c>
      <c r="K300" s="14" t="s">
        <v>33</v>
      </c>
      <c r="L300" s="19" t="s">
        <v>33</v>
      </c>
    </row>
    <row r="301" customFormat="false" ht="15" hidden="false" customHeight="false" outlineLevel="0" collapsed="false">
      <c r="A301" s="4" t="s">
        <v>98</v>
      </c>
      <c r="B301" s="27" t="s">
        <v>34</v>
      </c>
      <c r="C301" s="6" t="s">
        <v>16</v>
      </c>
      <c r="D301" s="28" t="n">
        <v>500</v>
      </c>
      <c r="E301" s="29" t="n">
        <v>252000</v>
      </c>
      <c r="F301" s="30" t="n">
        <v>69.2</v>
      </c>
      <c r="G301" s="31" t="n">
        <v>1885</v>
      </c>
      <c r="H301" s="32" t="n">
        <v>96264</v>
      </c>
      <c r="I301" s="33" t="n">
        <f aca="false">IFERROR(G301*1000/E301*1000,0)</f>
        <v>7480.15873015873</v>
      </c>
      <c r="J301" s="13" t="str">
        <f aca="false">IF(F301&gt;=95,"S",IF(F301&gt;=85,"A",IF(F301&gt;=70,"B",IF(F301&gt;=50,"C","D"))))</f>
        <v>C</v>
      </c>
      <c r="K301" s="14" t="s">
        <v>20</v>
      </c>
      <c r="L301" s="16" t="s">
        <v>21</v>
      </c>
    </row>
    <row r="302" customFormat="false" ht="15" hidden="false" customHeight="false" outlineLevel="0" collapsed="false">
      <c r="A302" s="4" t="s">
        <v>98</v>
      </c>
      <c r="B302" s="27" t="s">
        <v>37</v>
      </c>
      <c r="C302" s="6" t="s">
        <v>16</v>
      </c>
      <c r="D302" s="28" t="n">
        <v>520</v>
      </c>
      <c r="E302" s="29" t="n">
        <v>271000</v>
      </c>
      <c r="F302" s="30" t="n">
        <v>71.4</v>
      </c>
      <c r="G302" s="31" t="n">
        <v>2027</v>
      </c>
      <c r="H302" s="32" t="n">
        <v>103522</v>
      </c>
      <c r="I302" s="33" t="n">
        <f aca="false">IFERROR(G302*1000/E302*1000,0)</f>
        <v>7479.70479704797</v>
      </c>
      <c r="J302" s="13" t="str">
        <f aca="false">IF(F302&gt;=95,"S",IF(F302&gt;=85,"A",IF(F302&gt;=70,"B",IF(F302&gt;=50,"C","D"))))</f>
        <v>B</v>
      </c>
      <c r="K302" s="14" t="s">
        <v>86</v>
      </c>
      <c r="L302" s="20" t="s">
        <v>36</v>
      </c>
    </row>
    <row r="303" customFormat="false" ht="15" hidden="false" customHeight="false" outlineLevel="0" collapsed="false">
      <c r="A303" s="4" t="s">
        <v>98</v>
      </c>
      <c r="B303" s="27" t="s">
        <v>39</v>
      </c>
      <c r="C303" s="6" t="s">
        <v>16</v>
      </c>
      <c r="D303" s="28" t="n">
        <v>520</v>
      </c>
      <c r="E303" s="29" t="n">
        <v>274000</v>
      </c>
      <c r="F303" s="30" t="n">
        <v>72.4</v>
      </c>
      <c r="G303" s="31" t="n">
        <v>2050</v>
      </c>
      <c r="H303" s="32" t="n">
        <v>104668</v>
      </c>
      <c r="I303" s="33" t="n">
        <f aca="false">IFERROR(G303*1000/E303*1000,0)</f>
        <v>7481.75182481752</v>
      </c>
      <c r="J303" s="13" t="str">
        <f aca="false">IF(F303&gt;=95,"S",IF(F303&gt;=85,"A",IF(F303&gt;=70,"B",IF(F303&gt;=50,"C","D"))))</f>
        <v>B</v>
      </c>
      <c r="K303" s="14" t="s">
        <v>35</v>
      </c>
      <c r="L303" s="16" t="s">
        <v>21</v>
      </c>
    </row>
    <row r="304" customFormat="false" ht="15" hidden="false" customHeight="false" outlineLevel="0" collapsed="false">
      <c r="A304" s="4" t="s">
        <v>98</v>
      </c>
      <c r="B304" s="27" t="s">
        <v>40</v>
      </c>
      <c r="C304" s="6" t="s">
        <v>16</v>
      </c>
      <c r="D304" s="28" t="n">
        <v>530</v>
      </c>
      <c r="E304" s="29" t="n">
        <v>259000</v>
      </c>
      <c r="F304" s="30" t="n">
        <v>67.2</v>
      </c>
      <c r="G304" s="31" t="n">
        <v>1937</v>
      </c>
      <c r="H304" s="32" t="n">
        <v>98938</v>
      </c>
      <c r="I304" s="33" t="n">
        <f aca="false">IFERROR(G304*1000/E304*1000,0)</f>
        <v>7478.76447876448</v>
      </c>
      <c r="J304" s="13" t="str">
        <f aca="false">IF(F304&gt;=95,"S",IF(F304&gt;=85,"A",IF(F304&gt;=70,"B",IF(F304&gt;=50,"C","D"))))</f>
        <v>C</v>
      </c>
      <c r="K304" s="14" t="s">
        <v>33</v>
      </c>
      <c r="L304" s="15" t="s">
        <v>18</v>
      </c>
    </row>
    <row r="305" customFormat="false" ht="15" hidden="false" customHeight="false" outlineLevel="0" collapsed="false">
      <c r="A305" s="4" t="s">
        <v>98</v>
      </c>
      <c r="B305" s="27" t="s">
        <v>41</v>
      </c>
      <c r="C305" s="6" t="s">
        <v>16</v>
      </c>
      <c r="D305" s="28" t="n">
        <v>510</v>
      </c>
      <c r="E305" s="29" t="n">
        <v>254000</v>
      </c>
      <c r="F305" s="30" t="n">
        <v>68.4</v>
      </c>
      <c r="G305" s="31" t="n">
        <v>1900</v>
      </c>
      <c r="H305" s="32" t="n">
        <v>97028</v>
      </c>
      <c r="I305" s="33" t="n">
        <f aca="false">IFERROR(G305*1000/E305*1000,0)</f>
        <v>7480.31496062992</v>
      </c>
      <c r="J305" s="13" t="str">
        <f aca="false">IF(F305&gt;=95,"S",IF(F305&gt;=85,"A",IF(F305&gt;=70,"B",IF(F305&gt;=50,"C","D"))))</f>
        <v>C</v>
      </c>
      <c r="K305" s="14" t="s">
        <v>38</v>
      </c>
      <c r="L305" s="16" t="s">
        <v>21</v>
      </c>
    </row>
    <row r="306" customFormat="false" ht="15" hidden="false" customHeight="false" outlineLevel="0" collapsed="false">
      <c r="A306" s="4" t="s">
        <v>98</v>
      </c>
      <c r="B306" s="27" t="s">
        <v>42</v>
      </c>
      <c r="C306" s="6" t="s">
        <v>16</v>
      </c>
      <c r="D306" s="28" t="n">
        <v>510</v>
      </c>
      <c r="E306" s="29" t="n">
        <v>254000</v>
      </c>
      <c r="F306" s="30" t="n">
        <v>68.3</v>
      </c>
      <c r="G306" s="31" t="n">
        <v>1900</v>
      </c>
      <c r="H306" s="32" t="n">
        <v>97028</v>
      </c>
      <c r="I306" s="33" t="n">
        <f aca="false">IFERROR(G306*1000/E306*1000,0)</f>
        <v>7480.31496062992</v>
      </c>
      <c r="J306" s="13" t="str">
        <f aca="false">IF(F306&gt;=95,"S",IF(F306&gt;=85,"A",IF(F306&gt;=70,"B",IF(F306&gt;=50,"C","D"))))</f>
        <v>C</v>
      </c>
      <c r="K306" s="34"/>
      <c r="L306" s="16" t="s">
        <v>21</v>
      </c>
    </row>
    <row r="307" customFormat="false" ht="15" hidden="false" customHeight="false" outlineLevel="0" collapsed="false">
      <c r="A307" s="4" t="s">
        <v>98</v>
      </c>
      <c r="B307" s="27" t="s">
        <v>43</v>
      </c>
      <c r="C307" s="6" t="s">
        <v>16</v>
      </c>
      <c r="D307" s="28" t="n">
        <v>495</v>
      </c>
      <c r="E307" s="29" t="n">
        <v>256000</v>
      </c>
      <c r="F307" s="30" t="n">
        <v>70.9</v>
      </c>
      <c r="G307" s="31" t="n">
        <v>1915</v>
      </c>
      <c r="H307" s="32" t="n">
        <v>97792</v>
      </c>
      <c r="I307" s="33" t="n">
        <f aca="false">IFERROR(G307*1000/E307*1000,0)</f>
        <v>7480.46875</v>
      </c>
      <c r="J307" s="13" t="str">
        <f aca="false">IF(F307&gt;=95,"S",IF(F307&gt;=85,"A",IF(F307&gt;=70,"B",IF(F307&gt;=50,"C","D"))))</f>
        <v>B</v>
      </c>
      <c r="K307" s="14" t="s">
        <v>32</v>
      </c>
      <c r="L307" s="15" t="s">
        <v>18</v>
      </c>
    </row>
    <row r="308" customFormat="false" ht="15" hidden="false" customHeight="false" outlineLevel="0" collapsed="false">
      <c r="A308" s="4" t="s">
        <v>98</v>
      </c>
      <c r="B308" s="35" t="s">
        <v>45</v>
      </c>
      <c r="C308" s="22" t="s">
        <v>46</v>
      </c>
      <c r="D308" s="28" t="n">
        <v>200</v>
      </c>
      <c r="E308" s="29" t="n">
        <v>123000</v>
      </c>
      <c r="F308" s="30" t="n">
        <v>84.4</v>
      </c>
      <c r="G308" s="31" t="n">
        <v>913</v>
      </c>
      <c r="H308" s="32" t="n">
        <v>37023</v>
      </c>
      <c r="I308" s="33" t="n">
        <f aca="false">IFERROR(G308*1000/E308*1000,0)</f>
        <v>7422.76422764228</v>
      </c>
      <c r="J308" s="13" t="str">
        <f aca="false">IF(F308&gt;=95,"S",IF(F308&gt;=85,"A",IF(F308&gt;=70,"B",IF(F308&gt;=50,"C","D"))))</f>
        <v>B</v>
      </c>
      <c r="K308" s="14" t="s">
        <v>47</v>
      </c>
      <c r="L308" s="15" t="s">
        <v>18</v>
      </c>
    </row>
    <row r="309" customFormat="false" ht="15" hidden="false" customHeight="false" outlineLevel="0" collapsed="false">
      <c r="A309" s="4" t="s">
        <v>98</v>
      </c>
      <c r="B309" s="35" t="s">
        <v>48</v>
      </c>
      <c r="C309" s="22" t="s">
        <v>46</v>
      </c>
      <c r="D309" s="28" t="n">
        <v>220</v>
      </c>
      <c r="E309" s="29" t="n">
        <v>141000</v>
      </c>
      <c r="F309" s="30" t="n">
        <v>88.3</v>
      </c>
      <c r="G309" s="31" t="n">
        <v>1046</v>
      </c>
      <c r="H309" s="32" t="n">
        <v>42441</v>
      </c>
      <c r="I309" s="33" t="n">
        <f aca="false">IFERROR(G309*1000/E309*1000,0)</f>
        <v>7418.43971631206</v>
      </c>
      <c r="J309" s="13" t="str">
        <f aca="false">IF(F309&gt;=95,"S",IF(F309&gt;=85,"A",IF(F309&gt;=70,"B",IF(F309&gt;=50,"C","D"))))</f>
        <v>A</v>
      </c>
      <c r="K309" s="14" t="s">
        <v>87</v>
      </c>
      <c r="L309" s="19" t="s">
        <v>33</v>
      </c>
    </row>
    <row r="310" customFormat="false" ht="15" hidden="false" customHeight="false" outlineLevel="0" collapsed="false">
      <c r="A310" s="4" t="s">
        <v>98</v>
      </c>
      <c r="B310" s="27" t="s">
        <v>50</v>
      </c>
      <c r="C310" s="23" t="s">
        <v>51</v>
      </c>
      <c r="D310" s="28" t="n">
        <v>147</v>
      </c>
      <c r="E310" s="29" t="n">
        <v>49000</v>
      </c>
      <c r="F310" s="30" t="n">
        <v>46.3</v>
      </c>
      <c r="G310" s="31" t="n">
        <v>0</v>
      </c>
      <c r="H310" s="32" t="n">
        <v>0</v>
      </c>
      <c r="I310" s="33" t="n">
        <v>0</v>
      </c>
      <c r="J310" s="13" t="str">
        <f aca="false">IF(F310&gt;=95,"S",IF(F310&gt;=85,"A",IF(F310&gt;=70,"B",IF(F310&gt;=50,"C","D"))))</f>
        <v>D</v>
      </c>
      <c r="K310" s="24" t="s">
        <v>56</v>
      </c>
      <c r="L310" s="16" t="s">
        <v>21</v>
      </c>
    </row>
    <row r="311" customFormat="false" ht="15" hidden="false" customHeight="false" outlineLevel="0" collapsed="false">
      <c r="A311" s="4" t="s">
        <v>98</v>
      </c>
      <c r="B311" s="27" t="s">
        <v>53</v>
      </c>
      <c r="C311" s="23" t="s">
        <v>51</v>
      </c>
      <c r="D311" s="28" t="n">
        <v>320</v>
      </c>
      <c r="E311" s="29" t="n">
        <v>111000</v>
      </c>
      <c r="F311" s="30" t="n">
        <v>47.8</v>
      </c>
      <c r="G311" s="31" t="n">
        <v>0</v>
      </c>
      <c r="H311" s="32" t="n">
        <v>0</v>
      </c>
      <c r="I311" s="33" t="n">
        <v>0</v>
      </c>
      <c r="J311" s="13" t="str">
        <f aca="false">IF(F311&gt;=95,"S",IF(F311&gt;=85,"A",IF(F311&gt;=70,"B",IF(F311&gt;=50,"C","D"))))</f>
        <v>D</v>
      </c>
      <c r="K311" s="14" t="s">
        <v>65</v>
      </c>
      <c r="L311" s="19" t="s">
        <v>33</v>
      </c>
    </row>
    <row r="312" customFormat="false" ht="15" hidden="false" customHeight="false" outlineLevel="0" collapsed="false">
      <c r="A312" s="4" t="s">
        <v>98</v>
      </c>
      <c r="B312" s="27" t="s">
        <v>55</v>
      </c>
      <c r="C312" s="23" t="s">
        <v>51</v>
      </c>
      <c r="D312" s="28" t="n">
        <v>250</v>
      </c>
      <c r="E312" s="29" t="n">
        <v>66000</v>
      </c>
      <c r="F312" s="30" t="n">
        <v>36.3</v>
      </c>
      <c r="G312" s="31" t="n">
        <v>0</v>
      </c>
      <c r="H312" s="32" t="n">
        <v>0</v>
      </c>
      <c r="I312" s="33" t="n">
        <v>0</v>
      </c>
      <c r="J312" s="13" t="str">
        <f aca="false">IF(F312&gt;=95,"S",IF(F312&gt;=85,"A",IF(F312&gt;=70,"B",IF(F312&gt;=50,"C","D"))))</f>
        <v>D</v>
      </c>
      <c r="K312" s="14" t="s">
        <v>52</v>
      </c>
      <c r="L312" s="16" t="s">
        <v>21</v>
      </c>
    </row>
    <row r="313" customFormat="false" ht="15" hidden="false" customHeight="false" outlineLevel="0" collapsed="false">
      <c r="A313" s="4" t="s">
        <v>98</v>
      </c>
      <c r="B313" s="27" t="s">
        <v>57</v>
      </c>
      <c r="C313" s="23" t="s">
        <v>51</v>
      </c>
      <c r="D313" s="28" t="n">
        <v>180</v>
      </c>
      <c r="E313" s="29" t="n">
        <v>57000</v>
      </c>
      <c r="F313" s="30" t="n">
        <v>43.9</v>
      </c>
      <c r="G313" s="31" t="n">
        <v>0</v>
      </c>
      <c r="H313" s="32" t="n">
        <v>0</v>
      </c>
      <c r="I313" s="33" t="n">
        <v>0</v>
      </c>
      <c r="J313" s="13" t="str">
        <f aca="false">IF(F313&gt;=95,"S",IF(F313&gt;=85,"A",IF(F313&gt;=70,"B",IF(F313&gt;=50,"C","D"))))</f>
        <v>D</v>
      </c>
      <c r="K313" s="14" t="s">
        <v>88</v>
      </c>
      <c r="L313" s="16" t="s">
        <v>21</v>
      </c>
    </row>
    <row r="314" customFormat="false" ht="15" hidden="false" customHeight="false" outlineLevel="0" collapsed="false">
      <c r="A314" s="4" t="s">
        <v>98</v>
      </c>
      <c r="B314" s="27" t="s">
        <v>58</v>
      </c>
      <c r="C314" s="23" t="s">
        <v>51</v>
      </c>
      <c r="D314" s="28" t="n">
        <v>95</v>
      </c>
      <c r="E314" s="29" t="n">
        <v>24000</v>
      </c>
      <c r="F314" s="30" t="n">
        <v>35.8</v>
      </c>
      <c r="G314" s="31" t="n">
        <v>0</v>
      </c>
      <c r="H314" s="32" t="n">
        <v>0</v>
      </c>
      <c r="I314" s="33" t="n">
        <v>0</v>
      </c>
      <c r="J314" s="13" t="str">
        <f aca="false">IF(F314&gt;=95,"S",IF(F314&gt;=85,"A",IF(F314&gt;=70,"B",IF(F314&gt;=50,"C","D"))))</f>
        <v>D</v>
      </c>
      <c r="K314" s="24" t="s">
        <v>54</v>
      </c>
      <c r="L314" s="16" t="s">
        <v>21</v>
      </c>
    </row>
    <row r="315" customFormat="false" ht="15" hidden="false" customHeight="false" outlineLevel="0" collapsed="false">
      <c r="A315" s="4" t="s">
        <v>98</v>
      </c>
      <c r="B315" s="27" t="s">
        <v>59</v>
      </c>
      <c r="C315" s="23" t="s">
        <v>51</v>
      </c>
      <c r="D315" s="28" t="n">
        <v>32</v>
      </c>
      <c r="E315" s="29" t="n">
        <v>3000</v>
      </c>
      <c r="F315" s="30" t="n">
        <v>13</v>
      </c>
      <c r="G315" s="31" t="n">
        <v>0</v>
      </c>
      <c r="H315" s="32" t="n">
        <v>0</v>
      </c>
      <c r="I315" s="33" t="n">
        <v>0</v>
      </c>
      <c r="J315" s="13" t="str">
        <f aca="false">IF(F315&gt;=95,"S",IF(F315&gt;=85,"A",IF(F315&gt;=70,"B",IF(F315&gt;=50,"C","D"))))</f>
        <v>D</v>
      </c>
      <c r="K315" s="14" t="s">
        <v>88</v>
      </c>
      <c r="L315" s="16" t="s">
        <v>21</v>
      </c>
    </row>
    <row r="316" customFormat="false" ht="15" hidden="false" customHeight="false" outlineLevel="0" collapsed="false">
      <c r="A316" s="4" t="s">
        <v>98</v>
      </c>
      <c r="B316" s="27" t="s">
        <v>61</v>
      </c>
      <c r="C316" s="23" t="s">
        <v>51</v>
      </c>
      <c r="D316" s="28" t="n">
        <v>220</v>
      </c>
      <c r="E316" s="29" t="n">
        <v>23000</v>
      </c>
      <c r="F316" s="30" t="n">
        <v>14.6</v>
      </c>
      <c r="G316" s="31" t="n">
        <v>0</v>
      </c>
      <c r="H316" s="32" t="n">
        <v>0</v>
      </c>
      <c r="I316" s="33" t="n">
        <v>0</v>
      </c>
      <c r="J316" s="13" t="str">
        <f aca="false">IF(F316&gt;=95,"S",IF(F316&gt;=85,"A",IF(F316&gt;=70,"B",IF(F316&gt;=50,"C","D"))))</f>
        <v>D</v>
      </c>
      <c r="K316" s="24" t="s">
        <v>56</v>
      </c>
      <c r="L316" s="16" t="s">
        <v>21</v>
      </c>
    </row>
    <row r="317" customFormat="false" ht="15" hidden="false" customHeight="false" outlineLevel="0" collapsed="false">
      <c r="A317" s="4" t="s">
        <v>98</v>
      </c>
      <c r="B317" s="27" t="s">
        <v>62</v>
      </c>
      <c r="C317" s="23" t="s">
        <v>51</v>
      </c>
      <c r="D317" s="28" t="n">
        <v>85</v>
      </c>
      <c r="E317" s="29" t="n">
        <v>8000</v>
      </c>
      <c r="F317" s="30" t="n">
        <v>13.3</v>
      </c>
      <c r="G317" s="31" t="n">
        <v>0</v>
      </c>
      <c r="H317" s="32" t="n">
        <v>0</v>
      </c>
      <c r="I317" s="33" t="n">
        <v>0</v>
      </c>
      <c r="J317" s="13" t="str">
        <f aca="false">IF(F317&gt;=95,"S",IF(F317&gt;=85,"A",IF(F317&gt;=70,"B",IF(F317&gt;=50,"C","D"))))</f>
        <v>D</v>
      </c>
      <c r="K317" s="24" t="s">
        <v>56</v>
      </c>
      <c r="L317" s="17" t="s">
        <v>27</v>
      </c>
    </row>
    <row r="318" customFormat="false" ht="15" hidden="false" customHeight="false" outlineLevel="0" collapsed="false">
      <c r="A318" s="4" t="s">
        <v>98</v>
      </c>
      <c r="B318" s="27" t="s">
        <v>64</v>
      </c>
      <c r="C318" s="23" t="s">
        <v>51</v>
      </c>
      <c r="D318" s="28" t="n">
        <v>60</v>
      </c>
      <c r="E318" s="29" t="n">
        <v>5000</v>
      </c>
      <c r="F318" s="30" t="n">
        <v>13.3</v>
      </c>
      <c r="G318" s="31" t="n">
        <v>0</v>
      </c>
      <c r="H318" s="32" t="n">
        <v>0</v>
      </c>
      <c r="I318" s="33" t="n">
        <v>0</v>
      </c>
      <c r="J318" s="13" t="str">
        <f aca="false">IF(F318&gt;=95,"S",IF(F318&gt;=85,"A",IF(F318&gt;=70,"B",IF(F318&gt;=50,"C","D"))))</f>
        <v>D</v>
      </c>
      <c r="K318" s="14" t="s">
        <v>67</v>
      </c>
      <c r="L318" s="16" t="s">
        <v>21</v>
      </c>
    </row>
    <row r="319" customFormat="false" ht="15" hidden="false" customHeight="false" outlineLevel="0" collapsed="false">
      <c r="A319" s="4" t="s">
        <v>98</v>
      </c>
      <c r="B319" s="27" t="s">
        <v>66</v>
      </c>
      <c r="C319" s="23" t="s">
        <v>51</v>
      </c>
      <c r="D319" s="28" t="n">
        <v>75</v>
      </c>
      <c r="E319" s="29" t="n">
        <v>7000</v>
      </c>
      <c r="F319" s="30" t="n">
        <v>13.3</v>
      </c>
      <c r="G319" s="31" t="n">
        <v>0</v>
      </c>
      <c r="H319" s="32" t="n">
        <v>0</v>
      </c>
      <c r="I319" s="33" t="n">
        <v>0</v>
      </c>
      <c r="J319" s="13" t="str">
        <f aca="false">IF(F319&gt;=95,"S",IF(F319&gt;=85,"A",IF(F319&gt;=70,"B",IF(F319&gt;=50,"C","D"))))</f>
        <v>D</v>
      </c>
      <c r="K319" s="14" t="s">
        <v>65</v>
      </c>
      <c r="L319" s="15" t="s">
        <v>18</v>
      </c>
    </row>
    <row r="320" customFormat="false" ht="15" hidden="false" customHeight="false" outlineLevel="0" collapsed="false">
      <c r="A320" s="4" t="s">
        <v>98</v>
      </c>
      <c r="B320" s="27" t="s">
        <v>68</v>
      </c>
      <c r="C320" s="25" t="s">
        <v>69</v>
      </c>
      <c r="D320" s="28" t="n">
        <v>460</v>
      </c>
      <c r="E320" s="29" t="n">
        <v>210000</v>
      </c>
      <c r="F320" s="30" t="n">
        <v>62.8</v>
      </c>
      <c r="G320" s="31" t="n">
        <v>1438</v>
      </c>
      <c r="H320" s="32" t="n">
        <v>55650</v>
      </c>
      <c r="I320" s="33" t="n">
        <f aca="false">IFERROR(G320*1000/E320*1000,0)</f>
        <v>6847.61904761905</v>
      </c>
      <c r="J320" s="13" t="str">
        <f aca="false">IF(F320&gt;=95,"S",IF(F320&gt;=85,"A",IF(F320&gt;=70,"B",IF(F320&gt;=50,"C","D"))))</f>
        <v>C</v>
      </c>
      <c r="K320" s="14" t="s">
        <v>83</v>
      </c>
      <c r="L320" s="16" t="s">
        <v>21</v>
      </c>
    </row>
    <row r="321" customFormat="false" ht="15" hidden="false" customHeight="false" outlineLevel="0" collapsed="false">
      <c r="A321" s="4" t="s">
        <v>98</v>
      </c>
      <c r="B321" s="27" t="s">
        <v>71</v>
      </c>
      <c r="C321" s="25" t="s">
        <v>69</v>
      </c>
      <c r="D321" s="28" t="n">
        <v>460</v>
      </c>
      <c r="E321" s="29" t="n">
        <v>204000</v>
      </c>
      <c r="F321" s="30" t="n">
        <v>60.9</v>
      </c>
      <c r="G321" s="31" t="n">
        <v>1397</v>
      </c>
      <c r="H321" s="32" t="n">
        <v>54060</v>
      </c>
      <c r="I321" s="33" t="n">
        <f aca="false">IFERROR(G321*1000/E321*1000,0)</f>
        <v>6848.03921568627</v>
      </c>
      <c r="J321" s="13" t="str">
        <f aca="false">IF(F321&gt;=95,"S",IF(F321&gt;=85,"A",IF(F321&gt;=70,"B",IF(F321&gt;=50,"C","D"))))</f>
        <v>C</v>
      </c>
      <c r="K321" s="14" t="s">
        <v>94</v>
      </c>
      <c r="L321" s="20" t="s">
        <v>36</v>
      </c>
    </row>
    <row r="322" customFormat="false" ht="15" hidden="false" customHeight="false" outlineLevel="0" collapsed="false">
      <c r="A322" s="4" t="s">
        <v>98</v>
      </c>
      <c r="B322" s="27" t="s">
        <v>73</v>
      </c>
      <c r="C322" s="26" t="s">
        <v>74</v>
      </c>
      <c r="D322" s="28" t="n">
        <v>80</v>
      </c>
      <c r="E322" s="29" t="n">
        <v>24000</v>
      </c>
      <c r="F322" s="30" t="n">
        <v>41.5</v>
      </c>
      <c r="G322" s="31" t="n">
        <v>0</v>
      </c>
      <c r="H322" s="32" t="n">
        <v>0</v>
      </c>
      <c r="I322" s="33" t="n">
        <v>0</v>
      </c>
      <c r="J322" s="13" t="str">
        <f aca="false">IF(F322&gt;=95,"S",IF(F322&gt;=85,"A",IF(F322&gt;=70,"B",IF(F322&gt;=50,"C","D"))))</f>
        <v>D</v>
      </c>
      <c r="K322" s="14" t="s">
        <v>77</v>
      </c>
      <c r="L322" s="17" t="s">
        <v>27</v>
      </c>
    </row>
    <row r="323" customFormat="false" ht="15" hidden="false" customHeight="false" outlineLevel="0" collapsed="false">
      <c r="A323" s="4" t="s">
        <v>98</v>
      </c>
      <c r="B323" s="27" t="s">
        <v>76</v>
      </c>
      <c r="C323" s="26" t="s">
        <v>74</v>
      </c>
      <c r="D323" s="28" t="n">
        <v>80</v>
      </c>
      <c r="E323" s="29" t="n">
        <v>21000</v>
      </c>
      <c r="F323" s="30" t="n">
        <v>37.6</v>
      </c>
      <c r="G323" s="31" t="n">
        <v>0</v>
      </c>
      <c r="H323" s="32" t="n">
        <v>0</v>
      </c>
      <c r="I323" s="33" t="n">
        <v>0</v>
      </c>
      <c r="J323" s="13" t="str">
        <f aca="false">IF(F323&gt;=95,"S",IF(F323&gt;=85,"A",IF(F323&gt;=70,"B",IF(F323&gt;=50,"C","D"))))</f>
        <v>D</v>
      </c>
      <c r="K323" s="14" t="s">
        <v>89</v>
      </c>
      <c r="L323" s="16" t="s">
        <v>21</v>
      </c>
    </row>
    <row r="324" customFormat="false" ht="15" hidden="false" customHeight="false" outlineLevel="0" collapsed="false">
      <c r="A324" s="4" t="s">
        <v>98</v>
      </c>
      <c r="B324" s="27" t="s">
        <v>78</v>
      </c>
      <c r="C324" s="26" t="s">
        <v>74</v>
      </c>
      <c r="D324" s="28" t="n">
        <v>100</v>
      </c>
      <c r="E324" s="29" t="n">
        <v>30000</v>
      </c>
      <c r="F324" s="30" t="n">
        <v>41.6</v>
      </c>
      <c r="G324" s="31" t="n">
        <v>0</v>
      </c>
      <c r="H324" s="32" t="n">
        <v>0</v>
      </c>
      <c r="I324" s="33" t="n">
        <v>0</v>
      </c>
      <c r="J324" s="13" t="str">
        <f aca="false">IF(F324&gt;=95,"S",IF(F324&gt;=85,"A",IF(F324&gt;=70,"B",IF(F324&gt;=50,"C","D"))))</f>
        <v>D</v>
      </c>
      <c r="K324" s="14" t="s">
        <v>75</v>
      </c>
      <c r="L324" s="16" t="s">
        <v>21</v>
      </c>
    </row>
    <row r="325" customFormat="false" ht="15" hidden="false" customHeight="false" outlineLevel="0" collapsed="false">
      <c r="A325" s="4" t="s">
        <v>99</v>
      </c>
      <c r="B325" s="5" t="s">
        <v>15</v>
      </c>
      <c r="C325" s="6" t="s">
        <v>16</v>
      </c>
      <c r="D325" s="7" t="n">
        <v>500</v>
      </c>
      <c r="E325" s="8" t="n">
        <v>292000</v>
      </c>
      <c r="F325" s="9" t="n">
        <v>80.1</v>
      </c>
      <c r="G325" s="10" t="n">
        <v>2184</v>
      </c>
      <c r="H325" s="11" t="n">
        <v>111544</v>
      </c>
      <c r="I325" s="12" t="n">
        <f aca="false">IFERROR(G325*1000/E325*1000,0)</f>
        <v>7479.45205479452</v>
      </c>
      <c r="J325" s="13" t="str">
        <f aca="false">IF(F325&gt;=95,"S",IF(F325&gt;=85,"A",IF(F325&gt;=70,"B",IF(F325&gt;=50,"C","D"))))</f>
        <v>B</v>
      </c>
      <c r="K325" s="14" t="s">
        <v>32</v>
      </c>
      <c r="L325" s="16" t="s">
        <v>21</v>
      </c>
    </row>
    <row r="326" customFormat="false" ht="15" hidden="false" customHeight="false" outlineLevel="0" collapsed="false">
      <c r="A326" s="4" t="s">
        <v>99</v>
      </c>
      <c r="B326" s="5" t="s">
        <v>19</v>
      </c>
      <c r="C326" s="6" t="s">
        <v>16</v>
      </c>
      <c r="D326" s="7" t="n">
        <v>500</v>
      </c>
      <c r="E326" s="8" t="n">
        <v>293000</v>
      </c>
      <c r="F326" s="9" t="n">
        <v>80.5</v>
      </c>
      <c r="G326" s="10" t="n">
        <v>2192</v>
      </c>
      <c r="H326" s="11" t="n">
        <v>111926</v>
      </c>
      <c r="I326" s="12" t="n">
        <f aca="false">IFERROR(G326*1000/E326*1000,0)</f>
        <v>7481.22866894198</v>
      </c>
      <c r="J326" s="13" t="str">
        <f aca="false">IF(F326&gt;=95,"S",IF(F326&gt;=85,"A",IF(F326&gt;=70,"B",IF(F326&gt;=50,"C","D"))))</f>
        <v>B</v>
      </c>
      <c r="K326" s="18"/>
      <c r="L326" s="16" t="s">
        <v>21</v>
      </c>
    </row>
    <row r="327" customFormat="false" ht="15" hidden="false" customHeight="false" outlineLevel="0" collapsed="false">
      <c r="A327" s="4" t="s">
        <v>99</v>
      </c>
      <c r="B327" s="5" t="s">
        <v>22</v>
      </c>
      <c r="C327" s="6" t="s">
        <v>16</v>
      </c>
      <c r="D327" s="7" t="n">
        <v>512</v>
      </c>
      <c r="E327" s="8" t="n">
        <v>291000</v>
      </c>
      <c r="F327" s="9" t="n">
        <v>78</v>
      </c>
      <c r="G327" s="10" t="n">
        <v>2177</v>
      </c>
      <c r="H327" s="11" t="n">
        <v>111162</v>
      </c>
      <c r="I327" s="12" t="n">
        <f aca="false">IFERROR(G327*1000/E327*1000,0)</f>
        <v>7481.09965635739</v>
      </c>
      <c r="J327" s="13" t="str">
        <f aca="false">IF(F327&gt;=95,"S",IF(F327&gt;=85,"A",IF(F327&gt;=70,"B",IF(F327&gt;=50,"C","D"))))</f>
        <v>B</v>
      </c>
      <c r="K327" s="14" t="s">
        <v>33</v>
      </c>
      <c r="L327" s="17" t="s">
        <v>27</v>
      </c>
    </row>
    <row r="328" customFormat="false" ht="15" hidden="false" customHeight="false" outlineLevel="0" collapsed="false">
      <c r="A328" s="4" t="s">
        <v>99</v>
      </c>
      <c r="B328" s="5" t="s">
        <v>24</v>
      </c>
      <c r="C328" s="6" t="s">
        <v>16</v>
      </c>
      <c r="D328" s="7" t="n">
        <v>500</v>
      </c>
      <c r="E328" s="8" t="n">
        <v>303000</v>
      </c>
      <c r="F328" s="9" t="n">
        <v>83.1</v>
      </c>
      <c r="G328" s="10" t="n">
        <v>2266</v>
      </c>
      <c r="H328" s="11" t="n">
        <v>115746</v>
      </c>
      <c r="I328" s="12" t="n">
        <f aca="false">IFERROR(G328*1000/E328*1000,0)</f>
        <v>7478.54785478548</v>
      </c>
      <c r="J328" s="13" t="str">
        <f aca="false">IF(F328&gt;=95,"S",IF(F328&gt;=85,"A",IF(F328&gt;=70,"B",IF(F328&gt;=50,"C","D"))))</f>
        <v>B</v>
      </c>
      <c r="K328" s="14" t="s">
        <v>35</v>
      </c>
      <c r="L328" s="19" t="s">
        <v>33</v>
      </c>
    </row>
    <row r="329" customFormat="false" ht="15" hidden="false" customHeight="false" outlineLevel="0" collapsed="false">
      <c r="A329" s="4" t="s">
        <v>99</v>
      </c>
      <c r="B329" s="5" t="s">
        <v>25</v>
      </c>
      <c r="C329" s="6" t="s">
        <v>16</v>
      </c>
      <c r="D329" s="7" t="n">
        <v>500</v>
      </c>
      <c r="E329" s="8" t="n">
        <v>303000</v>
      </c>
      <c r="F329" s="9" t="n">
        <v>83.1</v>
      </c>
      <c r="G329" s="10" t="n">
        <v>2266</v>
      </c>
      <c r="H329" s="11" t="n">
        <v>115746</v>
      </c>
      <c r="I329" s="12" t="n">
        <f aca="false">IFERROR(G329*1000/E329*1000,0)</f>
        <v>7478.54785478548</v>
      </c>
      <c r="J329" s="13" t="str">
        <f aca="false">IF(F329&gt;=95,"S",IF(F329&gt;=85,"A",IF(F329&gt;=70,"B",IF(F329&gt;=50,"C","D"))))</f>
        <v>B</v>
      </c>
      <c r="K329" s="14" t="s">
        <v>33</v>
      </c>
      <c r="L329" s="16" t="s">
        <v>21</v>
      </c>
    </row>
    <row r="330" customFormat="false" ht="15" hidden="false" customHeight="false" outlineLevel="0" collapsed="false">
      <c r="A330" s="4" t="s">
        <v>99</v>
      </c>
      <c r="B330" s="5" t="s">
        <v>28</v>
      </c>
      <c r="C330" s="6" t="s">
        <v>16</v>
      </c>
      <c r="D330" s="7" t="n">
        <v>480</v>
      </c>
      <c r="E330" s="8" t="n">
        <v>275000</v>
      </c>
      <c r="F330" s="9" t="n">
        <v>78.7</v>
      </c>
      <c r="G330" s="10" t="n">
        <v>2057</v>
      </c>
      <c r="H330" s="11" t="n">
        <v>105050</v>
      </c>
      <c r="I330" s="12" t="n">
        <f aca="false">IFERROR(G330*1000/E330*1000,0)</f>
        <v>7480</v>
      </c>
      <c r="J330" s="13" t="str">
        <f aca="false">IF(F330&gt;=95,"S",IF(F330&gt;=85,"A",IF(F330&gt;=70,"B",IF(F330&gt;=50,"C","D"))))</f>
        <v>B</v>
      </c>
      <c r="K330" s="14" t="s">
        <v>17</v>
      </c>
      <c r="L330" s="16" t="s">
        <v>21</v>
      </c>
    </row>
    <row r="331" customFormat="false" ht="15" hidden="false" customHeight="false" outlineLevel="0" collapsed="false">
      <c r="A331" s="4" t="s">
        <v>99</v>
      </c>
      <c r="B331" s="5" t="s">
        <v>29</v>
      </c>
      <c r="C331" s="6" t="s">
        <v>16</v>
      </c>
      <c r="D331" s="7" t="n">
        <v>480</v>
      </c>
      <c r="E331" s="8" t="n">
        <v>274000</v>
      </c>
      <c r="F331" s="9" t="n">
        <v>78.4</v>
      </c>
      <c r="G331" s="10" t="n">
        <v>2050</v>
      </c>
      <c r="H331" s="11" t="n">
        <v>104668</v>
      </c>
      <c r="I331" s="12" t="n">
        <f aca="false">IFERROR(G331*1000/E331*1000,0)</f>
        <v>7481.75182481752</v>
      </c>
      <c r="J331" s="13" t="str">
        <f aca="false">IF(F331&gt;=95,"S",IF(F331&gt;=85,"A",IF(F331&gt;=70,"B",IF(F331&gt;=50,"C","D"))))</f>
        <v>B</v>
      </c>
      <c r="K331" s="14" t="s">
        <v>86</v>
      </c>
      <c r="L331" s="16" t="s">
        <v>21</v>
      </c>
    </row>
    <row r="332" customFormat="false" ht="15" hidden="false" customHeight="false" outlineLevel="0" collapsed="false">
      <c r="A332" s="4" t="s">
        <v>99</v>
      </c>
      <c r="B332" s="5" t="s">
        <v>31</v>
      </c>
      <c r="C332" s="6" t="s">
        <v>16</v>
      </c>
      <c r="D332" s="7" t="n">
        <v>495</v>
      </c>
      <c r="E332" s="8" t="n">
        <v>302000</v>
      </c>
      <c r="F332" s="9" t="n">
        <v>83.8</v>
      </c>
      <c r="G332" s="10" t="n">
        <v>2259</v>
      </c>
      <c r="H332" s="11" t="n">
        <v>115364</v>
      </c>
      <c r="I332" s="12" t="n">
        <f aca="false">IFERROR(G332*1000/E332*1000,0)</f>
        <v>7480.13245033113</v>
      </c>
      <c r="J332" s="13" t="str">
        <f aca="false">IF(F332&gt;=95,"S",IF(F332&gt;=85,"A",IF(F332&gt;=70,"B",IF(F332&gt;=50,"C","D"))))</f>
        <v>B</v>
      </c>
      <c r="K332" s="14" t="s">
        <v>26</v>
      </c>
      <c r="L332" s="20" t="s">
        <v>36</v>
      </c>
    </row>
    <row r="333" customFormat="false" ht="15" hidden="false" customHeight="false" outlineLevel="0" collapsed="false">
      <c r="A333" s="4" t="s">
        <v>99</v>
      </c>
      <c r="B333" s="5" t="s">
        <v>34</v>
      </c>
      <c r="C333" s="6" t="s">
        <v>16</v>
      </c>
      <c r="D333" s="7" t="n">
        <v>500</v>
      </c>
      <c r="E333" s="8" t="n">
        <v>298000</v>
      </c>
      <c r="F333" s="9" t="n">
        <v>81.9</v>
      </c>
      <c r="G333" s="10" t="n">
        <v>2229</v>
      </c>
      <c r="H333" s="11" t="n">
        <v>113836</v>
      </c>
      <c r="I333" s="12" t="n">
        <f aca="false">IFERROR(G333*1000/E333*1000,0)</f>
        <v>7479.86577181208</v>
      </c>
      <c r="J333" s="13" t="str">
        <f aca="false">IF(F333&gt;=95,"S",IF(F333&gt;=85,"A",IF(F333&gt;=70,"B",IF(F333&gt;=50,"C","D"))))</f>
        <v>B</v>
      </c>
      <c r="K333" s="14" t="s">
        <v>38</v>
      </c>
      <c r="L333" s="15" t="s">
        <v>18</v>
      </c>
    </row>
    <row r="334" customFormat="false" ht="15" hidden="false" customHeight="false" outlineLevel="0" collapsed="false">
      <c r="A334" s="4" t="s">
        <v>99</v>
      </c>
      <c r="B334" s="5" t="s">
        <v>37</v>
      </c>
      <c r="C334" s="6" t="s">
        <v>16</v>
      </c>
      <c r="D334" s="7" t="n">
        <v>520</v>
      </c>
      <c r="E334" s="8" t="n">
        <v>317000</v>
      </c>
      <c r="F334" s="9" t="n">
        <v>83.6</v>
      </c>
      <c r="G334" s="10" t="n">
        <v>2371</v>
      </c>
      <c r="H334" s="11" t="n">
        <v>121094</v>
      </c>
      <c r="I334" s="12" t="n">
        <f aca="false">IFERROR(G334*1000/E334*1000,0)</f>
        <v>7479.4952681388</v>
      </c>
      <c r="J334" s="13" t="str">
        <f aca="false">IF(F334&gt;=95,"S",IF(F334&gt;=85,"A",IF(F334&gt;=70,"B",IF(F334&gt;=50,"C","D"))))</f>
        <v>B</v>
      </c>
      <c r="K334" s="14" t="s">
        <v>20</v>
      </c>
      <c r="L334" s="17" t="s">
        <v>27</v>
      </c>
    </row>
    <row r="335" customFormat="false" ht="15" hidden="false" customHeight="false" outlineLevel="0" collapsed="false">
      <c r="A335" s="4" t="s">
        <v>99</v>
      </c>
      <c r="B335" s="5" t="s">
        <v>39</v>
      </c>
      <c r="C335" s="6" t="s">
        <v>16</v>
      </c>
      <c r="D335" s="7" t="n">
        <v>520</v>
      </c>
      <c r="E335" s="8" t="n">
        <v>294000</v>
      </c>
      <c r="F335" s="9" t="n">
        <v>77.7</v>
      </c>
      <c r="G335" s="10" t="n">
        <v>2199</v>
      </c>
      <c r="H335" s="11" t="n">
        <v>112308</v>
      </c>
      <c r="I335" s="12" t="n">
        <f aca="false">IFERROR(G335*1000/E335*1000,0)</f>
        <v>7479.59183673469</v>
      </c>
      <c r="J335" s="13" t="str">
        <f aca="false">IF(F335&gt;=95,"S",IF(F335&gt;=85,"A",IF(F335&gt;=70,"B",IF(F335&gt;=50,"C","D"))))</f>
        <v>B</v>
      </c>
      <c r="K335" s="14" t="s">
        <v>30</v>
      </c>
      <c r="L335" s="16" t="s">
        <v>21</v>
      </c>
    </row>
    <row r="336" customFormat="false" ht="15" hidden="false" customHeight="false" outlineLevel="0" collapsed="false">
      <c r="A336" s="4" t="s">
        <v>99</v>
      </c>
      <c r="B336" s="5" t="s">
        <v>40</v>
      </c>
      <c r="C336" s="6" t="s">
        <v>16</v>
      </c>
      <c r="D336" s="7" t="n">
        <v>530</v>
      </c>
      <c r="E336" s="8" t="n">
        <v>302000</v>
      </c>
      <c r="F336" s="9" t="n">
        <v>78.3</v>
      </c>
      <c r="G336" s="10" t="n">
        <v>2259</v>
      </c>
      <c r="H336" s="11" t="n">
        <v>115364</v>
      </c>
      <c r="I336" s="12" t="n">
        <f aca="false">IFERROR(G336*1000/E336*1000,0)</f>
        <v>7480.13245033113</v>
      </c>
      <c r="J336" s="13" t="str">
        <f aca="false">IF(F336&gt;=95,"S",IF(F336&gt;=85,"A",IF(F336&gt;=70,"B",IF(F336&gt;=50,"C","D"))))</f>
        <v>B</v>
      </c>
      <c r="K336" s="14" t="s">
        <v>35</v>
      </c>
      <c r="L336" s="16" t="s">
        <v>21</v>
      </c>
    </row>
    <row r="337" customFormat="false" ht="15" hidden="false" customHeight="false" outlineLevel="0" collapsed="false">
      <c r="A337" s="4" t="s">
        <v>99</v>
      </c>
      <c r="B337" s="5" t="s">
        <v>41</v>
      </c>
      <c r="C337" s="6" t="s">
        <v>16</v>
      </c>
      <c r="D337" s="7" t="n">
        <v>510</v>
      </c>
      <c r="E337" s="8" t="n">
        <v>302000</v>
      </c>
      <c r="F337" s="9" t="n">
        <v>81.4</v>
      </c>
      <c r="G337" s="10" t="n">
        <v>2259</v>
      </c>
      <c r="H337" s="11" t="n">
        <v>115364</v>
      </c>
      <c r="I337" s="12" t="n">
        <f aca="false">IFERROR(G337*1000/E337*1000,0)</f>
        <v>7480.13245033113</v>
      </c>
      <c r="J337" s="13" t="str">
        <f aca="false">IF(F337&gt;=95,"S",IF(F337&gt;=85,"A",IF(F337&gt;=70,"B",IF(F337&gt;=50,"C","D"))))</f>
        <v>B</v>
      </c>
      <c r="K337" s="14" t="s">
        <v>23</v>
      </c>
      <c r="L337" s="17" t="s">
        <v>27</v>
      </c>
    </row>
    <row r="338" customFormat="false" ht="15" hidden="false" customHeight="false" outlineLevel="0" collapsed="false">
      <c r="A338" s="4" t="s">
        <v>99</v>
      </c>
      <c r="B338" s="5" t="s">
        <v>42</v>
      </c>
      <c r="C338" s="6" t="s">
        <v>16</v>
      </c>
      <c r="D338" s="7" t="n">
        <v>510</v>
      </c>
      <c r="E338" s="8" t="n">
        <v>292000</v>
      </c>
      <c r="F338" s="9" t="n">
        <v>78.7</v>
      </c>
      <c r="G338" s="10" t="n">
        <v>2184</v>
      </c>
      <c r="H338" s="11" t="n">
        <v>111544</v>
      </c>
      <c r="I338" s="12" t="n">
        <f aca="false">IFERROR(G338*1000/E338*1000,0)</f>
        <v>7479.45205479452</v>
      </c>
      <c r="J338" s="13" t="str">
        <f aca="false">IF(F338&gt;=95,"S",IF(F338&gt;=85,"A",IF(F338&gt;=70,"B",IF(F338&gt;=50,"C","D"))))</f>
        <v>B</v>
      </c>
      <c r="K338" s="14" t="s">
        <v>44</v>
      </c>
      <c r="L338" s="15" t="s">
        <v>18</v>
      </c>
    </row>
    <row r="339" customFormat="false" ht="15" hidden="false" customHeight="false" outlineLevel="0" collapsed="false">
      <c r="A339" s="4" t="s">
        <v>99</v>
      </c>
      <c r="B339" s="5" t="s">
        <v>43</v>
      </c>
      <c r="C339" s="6" t="s">
        <v>16</v>
      </c>
      <c r="D339" s="7" t="n">
        <v>495</v>
      </c>
      <c r="E339" s="8" t="n">
        <v>280000</v>
      </c>
      <c r="F339" s="9" t="n">
        <v>77.6</v>
      </c>
      <c r="G339" s="10" t="n">
        <v>2094</v>
      </c>
      <c r="H339" s="11" t="n">
        <v>106960</v>
      </c>
      <c r="I339" s="12" t="n">
        <f aca="false">IFERROR(G339*1000/E339*1000,0)</f>
        <v>7478.57142857143</v>
      </c>
      <c r="J339" s="13" t="str">
        <f aca="false">IF(F339&gt;=95,"S",IF(F339&gt;=85,"A",IF(F339&gt;=70,"B",IF(F339&gt;=50,"C","D"))))</f>
        <v>B</v>
      </c>
      <c r="K339" s="18"/>
      <c r="L339" s="16" t="s">
        <v>21</v>
      </c>
    </row>
    <row r="340" customFormat="false" ht="15" hidden="false" customHeight="false" outlineLevel="0" collapsed="false">
      <c r="A340" s="4" t="s">
        <v>99</v>
      </c>
      <c r="B340" s="21" t="s">
        <v>45</v>
      </c>
      <c r="C340" s="22" t="s">
        <v>46</v>
      </c>
      <c r="D340" s="7" t="n">
        <v>200</v>
      </c>
      <c r="E340" s="8" t="n">
        <v>131000</v>
      </c>
      <c r="F340" s="9" t="n">
        <v>90.1</v>
      </c>
      <c r="G340" s="10" t="n">
        <v>972</v>
      </c>
      <c r="H340" s="11" t="n">
        <v>39431</v>
      </c>
      <c r="I340" s="12" t="n">
        <f aca="false">IFERROR(G340*1000/E340*1000,0)</f>
        <v>7419.84732824428</v>
      </c>
      <c r="J340" s="13" t="str">
        <f aca="false">IF(F340&gt;=95,"S",IF(F340&gt;=85,"A",IF(F340&gt;=70,"B",IF(F340&gt;=50,"C","D"))))</f>
        <v>A</v>
      </c>
      <c r="K340" s="24" t="s">
        <v>81</v>
      </c>
      <c r="L340" s="19" t="s">
        <v>33</v>
      </c>
    </row>
    <row r="341" customFormat="false" ht="15" hidden="false" customHeight="false" outlineLevel="0" collapsed="false">
      <c r="A341" s="4" t="s">
        <v>99</v>
      </c>
      <c r="B341" s="21" t="s">
        <v>48</v>
      </c>
      <c r="C341" s="22" t="s">
        <v>46</v>
      </c>
      <c r="D341" s="7" t="n">
        <v>220</v>
      </c>
      <c r="E341" s="8" t="n">
        <v>140000</v>
      </c>
      <c r="F341" s="9" t="n">
        <v>87.8</v>
      </c>
      <c r="G341" s="10" t="n">
        <v>1039</v>
      </c>
      <c r="H341" s="11" t="n">
        <v>42140</v>
      </c>
      <c r="I341" s="12" t="n">
        <f aca="false">IFERROR(G341*1000/E341*1000,0)</f>
        <v>7421.42857142857</v>
      </c>
      <c r="J341" s="13" t="str">
        <f aca="false">IF(F341&gt;=95,"S",IF(F341&gt;=85,"A",IF(F341&gt;=70,"B",IF(F341&gt;=50,"C","D"))))</f>
        <v>A</v>
      </c>
      <c r="K341" s="24" t="s">
        <v>81</v>
      </c>
      <c r="L341" s="19" t="s">
        <v>33</v>
      </c>
    </row>
    <row r="342" customFormat="false" ht="15" hidden="false" customHeight="false" outlineLevel="0" collapsed="false">
      <c r="A342" s="4" t="s">
        <v>99</v>
      </c>
      <c r="B342" s="5" t="s">
        <v>50</v>
      </c>
      <c r="C342" s="23" t="s">
        <v>51</v>
      </c>
      <c r="D342" s="7" t="n">
        <v>147</v>
      </c>
      <c r="E342" s="8" t="n">
        <v>50000</v>
      </c>
      <c r="F342" s="9" t="n">
        <v>47</v>
      </c>
      <c r="G342" s="10" t="n">
        <v>0</v>
      </c>
      <c r="H342" s="11" t="n">
        <v>0</v>
      </c>
      <c r="I342" s="12" t="n">
        <v>0</v>
      </c>
      <c r="J342" s="13" t="str">
        <f aca="false">IF(F342&gt;=95,"S",IF(F342&gt;=85,"A",IF(F342&gt;=70,"B",IF(F342&gt;=50,"C","D"))))</f>
        <v>D</v>
      </c>
      <c r="K342" s="14" t="s">
        <v>60</v>
      </c>
      <c r="L342" s="17" t="s">
        <v>27</v>
      </c>
    </row>
    <row r="343" customFormat="false" ht="15" hidden="false" customHeight="false" outlineLevel="0" collapsed="false">
      <c r="A343" s="4" t="s">
        <v>99</v>
      </c>
      <c r="B343" s="5" t="s">
        <v>53</v>
      </c>
      <c r="C343" s="23" t="s">
        <v>51</v>
      </c>
      <c r="D343" s="7" t="n">
        <v>320</v>
      </c>
      <c r="E343" s="8" t="n">
        <v>116000</v>
      </c>
      <c r="F343" s="9" t="n">
        <v>49.7</v>
      </c>
      <c r="G343" s="10" t="n">
        <v>0</v>
      </c>
      <c r="H343" s="11" t="n">
        <v>0</v>
      </c>
      <c r="I343" s="12" t="n">
        <v>0</v>
      </c>
      <c r="J343" s="13" t="str">
        <f aca="false">IF(F343&gt;=95,"S",IF(F343&gt;=85,"A",IF(F343&gt;=70,"B",IF(F343&gt;=50,"C","D"))))</f>
        <v>D</v>
      </c>
      <c r="K343" s="14" t="s">
        <v>67</v>
      </c>
      <c r="L343" s="16" t="s">
        <v>21</v>
      </c>
    </row>
    <row r="344" customFormat="false" ht="15" hidden="false" customHeight="false" outlineLevel="0" collapsed="false">
      <c r="A344" s="4" t="s">
        <v>99</v>
      </c>
      <c r="B344" s="5" t="s">
        <v>55</v>
      </c>
      <c r="C344" s="23" t="s">
        <v>51</v>
      </c>
      <c r="D344" s="7" t="n">
        <v>250</v>
      </c>
      <c r="E344" s="8" t="n">
        <v>69000</v>
      </c>
      <c r="F344" s="9" t="n">
        <v>38.1</v>
      </c>
      <c r="G344" s="10" t="n">
        <v>0</v>
      </c>
      <c r="H344" s="11" t="n">
        <v>0</v>
      </c>
      <c r="I344" s="12" t="n">
        <v>0</v>
      </c>
      <c r="J344" s="13" t="str">
        <f aca="false">IF(F344&gt;=95,"S",IF(F344&gt;=85,"A",IF(F344&gt;=70,"B",IF(F344&gt;=50,"C","D"))))</f>
        <v>D</v>
      </c>
      <c r="K344" s="18"/>
      <c r="L344" s="17" t="s">
        <v>27</v>
      </c>
    </row>
    <row r="345" customFormat="false" ht="15" hidden="false" customHeight="false" outlineLevel="0" collapsed="false">
      <c r="A345" s="4" t="s">
        <v>99</v>
      </c>
      <c r="B345" s="5" t="s">
        <v>57</v>
      </c>
      <c r="C345" s="23" t="s">
        <v>51</v>
      </c>
      <c r="D345" s="7" t="n">
        <v>180</v>
      </c>
      <c r="E345" s="8" t="n">
        <v>57000</v>
      </c>
      <c r="F345" s="9" t="n">
        <v>44.1</v>
      </c>
      <c r="G345" s="10" t="n">
        <v>0</v>
      </c>
      <c r="H345" s="11" t="n">
        <v>0</v>
      </c>
      <c r="I345" s="12" t="n">
        <v>0</v>
      </c>
      <c r="J345" s="13" t="str">
        <f aca="false">IF(F345&gt;=95,"S",IF(F345&gt;=85,"A",IF(F345&gt;=70,"B",IF(F345&gt;=50,"C","D"))))</f>
        <v>D</v>
      </c>
      <c r="K345" s="14" t="s">
        <v>60</v>
      </c>
      <c r="L345" s="20" t="s">
        <v>36</v>
      </c>
    </row>
    <row r="346" customFormat="false" ht="15" hidden="false" customHeight="false" outlineLevel="0" collapsed="false">
      <c r="A346" s="4" t="s">
        <v>99</v>
      </c>
      <c r="B346" s="5" t="s">
        <v>58</v>
      </c>
      <c r="C346" s="23" t="s">
        <v>51</v>
      </c>
      <c r="D346" s="7" t="n">
        <v>95</v>
      </c>
      <c r="E346" s="8" t="n">
        <v>34000</v>
      </c>
      <c r="F346" s="9" t="n">
        <v>49.5</v>
      </c>
      <c r="G346" s="10" t="n">
        <v>0</v>
      </c>
      <c r="H346" s="11" t="n">
        <v>0</v>
      </c>
      <c r="I346" s="12" t="n">
        <v>0</v>
      </c>
      <c r="J346" s="13" t="str">
        <f aca="false">IF(F346&gt;=95,"S",IF(F346&gt;=85,"A",IF(F346&gt;=70,"B",IF(F346&gt;=50,"C","D"))))</f>
        <v>D</v>
      </c>
      <c r="K346" s="18"/>
      <c r="L346" s="19" t="s">
        <v>33</v>
      </c>
    </row>
    <row r="347" customFormat="false" ht="15" hidden="false" customHeight="false" outlineLevel="0" collapsed="false">
      <c r="A347" s="4" t="s">
        <v>99</v>
      </c>
      <c r="B347" s="5" t="s">
        <v>59</v>
      </c>
      <c r="C347" s="23" t="s">
        <v>51</v>
      </c>
      <c r="D347" s="7" t="n">
        <v>32</v>
      </c>
      <c r="E347" s="8" t="n">
        <v>2000</v>
      </c>
      <c r="F347" s="9" t="n">
        <v>9.6</v>
      </c>
      <c r="G347" s="10" t="n">
        <v>0</v>
      </c>
      <c r="H347" s="11" t="n">
        <v>0</v>
      </c>
      <c r="I347" s="12" t="n">
        <v>0</v>
      </c>
      <c r="J347" s="13" t="str">
        <f aca="false">IF(F347&gt;=95,"S",IF(F347&gt;=85,"A",IF(F347&gt;=70,"B",IF(F347&gt;=50,"C","D"))))</f>
        <v>D</v>
      </c>
      <c r="K347" s="14" t="s">
        <v>60</v>
      </c>
      <c r="L347" s="20" t="s">
        <v>36</v>
      </c>
    </row>
    <row r="348" customFormat="false" ht="15" hidden="false" customHeight="false" outlineLevel="0" collapsed="false">
      <c r="A348" s="4" t="s">
        <v>99</v>
      </c>
      <c r="B348" s="5" t="s">
        <v>61</v>
      </c>
      <c r="C348" s="23" t="s">
        <v>51</v>
      </c>
      <c r="D348" s="7" t="n">
        <v>220</v>
      </c>
      <c r="E348" s="8" t="n">
        <v>15000</v>
      </c>
      <c r="F348" s="9" t="n">
        <v>9.7</v>
      </c>
      <c r="G348" s="10" t="n">
        <v>0</v>
      </c>
      <c r="H348" s="11" t="n">
        <v>0</v>
      </c>
      <c r="I348" s="12" t="n">
        <v>0</v>
      </c>
      <c r="J348" s="13" t="str">
        <f aca="false">IF(F348&gt;=95,"S",IF(F348&gt;=85,"A",IF(F348&gt;=70,"B",IF(F348&gt;=50,"C","D"))))</f>
        <v>D</v>
      </c>
      <c r="K348" s="18"/>
      <c r="L348" s="19" t="s">
        <v>33</v>
      </c>
    </row>
    <row r="349" customFormat="false" ht="15" hidden="false" customHeight="false" outlineLevel="0" collapsed="false">
      <c r="A349" s="4" t="s">
        <v>99</v>
      </c>
      <c r="B349" s="5" t="s">
        <v>62</v>
      </c>
      <c r="C349" s="23" t="s">
        <v>51</v>
      </c>
      <c r="D349" s="7" t="n">
        <v>85</v>
      </c>
      <c r="E349" s="8" t="n">
        <v>5000</v>
      </c>
      <c r="F349" s="9" t="n">
        <v>9.5</v>
      </c>
      <c r="G349" s="10" t="n">
        <v>0</v>
      </c>
      <c r="H349" s="11" t="n">
        <v>0</v>
      </c>
      <c r="I349" s="12" t="n">
        <v>0</v>
      </c>
      <c r="J349" s="13" t="str">
        <f aca="false">IF(F349&gt;=95,"S",IF(F349&gt;=85,"A",IF(F349&gt;=70,"B",IF(F349&gt;=50,"C","D"))))</f>
        <v>D</v>
      </c>
      <c r="K349" s="14" t="s">
        <v>52</v>
      </c>
      <c r="L349" s="16" t="s">
        <v>21</v>
      </c>
    </row>
    <row r="350" customFormat="false" ht="15" hidden="false" customHeight="false" outlineLevel="0" collapsed="false">
      <c r="A350" s="4" t="s">
        <v>99</v>
      </c>
      <c r="B350" s="5" t="s">
        <v>64</v>
      </c>
      <c r="C350" s="23" t="s">
        <v>51</v>
      </c>
      <c r="D350" s="7" t="n">
        <v>60</v>
      </c>
      <c r="E350" s="8" t="n">
        <v>4000</v>
      </c>
      <c r="F350" s="9" t="n">
        <v>10.2</v>
      </c>
      <c r="G350" s="10" t="n">
        <v>0</v>
      </c>
      <c r="H350" s="11" t="n">
        <v>0</v>
      </c>
      <c r="I350" s="12" t="n">
        <v>0</v>
      </c>
      <c r="J350" s="13" t="str">
        <f aca="false">IF(F350&gt;=95,"S",IF(F350&gt;=85,"A",IF(F350&gt;=70,"B",IF(F350&gt;=50,"C","D"))))</f>
        <v>D</v>
      </c>
      <c r="K350" s="14" t="s">
        <v>67</v>
      </c>
      <c r="L350" s="16" t="s">
        <v>21</v>
      </c>
    </row>
    <row r="351" customFormat="false" ht="15" hidden="false" customHeight="false" outlineLevel="0" collapsed="false">
      <c r="A351" s="4" t="s">
        <v>99</v>
      </c>
      <c r="B351" s="5" t="s">
        <v>66</v>
      </c>
      <c r="C351" s="23" t="s">
        <v>51</v>
      </c>
      <c r="D351" s="7" t="n">
        <v>75</v>
      </c>
      <c r="E351" s="8" t="n">
        <v>5000</v>
      </c>
      <c r="F351" s="9" t="n">
        <v>10.2</v>
      </c>
      <c r="G351" s="10" t="n">
        <v>0</v>
      </c>
      <c r="H351" s="11" t="n">
        <v>0</v>
      </c>
      <c r="I351" s="12" t="n">
        <v>0</v>
      </c>
      <c r="J351" s="13" t="str">
        <f aca="false">IF(F351&gt;=95,"S",IF(F351&gt;=85,"A",IF(F351&gt;=70,"B",IF(F351&gt;=50,"C","D"))))</f>
        <v>D</v>
      </c>
      <c r="K351" s="14" t="s">
        <v>88</v>
      </c>
      <c r="L351" s="19" t="s">
        <v>33</v>
      </c>
    </row>
    <row r="352" customFormat="false" ht="15" hidden="false" customHeight="false" outlineLevel="0" collapsed="false">
      <c r="A352" s="4" t="s">
        <v>99</v>
      </c>
      <c r="B352" s="5" t="s">
        <v>68</v>
      </c>
      <c r="C352" s="25" t="s">
        <v>69</v>
      </c>
      <c r="D352" s="7" t="n">
        <v>460</v>
      </c>
      <c r="E352" s="8" t="n">
        <v>251000</v>
      </c>
      <c r="F352" s="9" t="n">
        <v>75</v>
      </c>
      <c r="G352" s="10" t="n">
        <v>1719</v>
      </c>
      <c r="H352" s="11" t="n">
        <v>66515</v>
      </c>
      <c r="I352" s="12" t="n">
        <f aca="false">IFERROR(G352*1000/E352*1000,0)</f>
        <v>6848.60557768924</v>
      </c>
      <c r="J352" s="13" t="str">
        <f aca="false">IF(F352&gt;=95,"S",IF(F352&gt;=85,"A",IF(F352&gt;=70,"B",IF(F352&gt;=50,"C","D"))))</f>
        <v>B</v>
      </c>
      <c r="K352" s="14" t="s">
        <v>72</v>
      </c>
      <c r="L352" s="16" t="s">
        <v>21</v>
      </c>
    </row>
    <row r="353" customFormat="false" ht="15" hidden="false" customHeight="false" outlineLevel="0" collapsed="false">
      <c r="A353" s="4" t="s">
        <v>99</v>
      </c>
      <c r="B353" s="5" t="s">
        <v>71</v>
      </c>
      <c r="C353" s="25" t="s">
        <v>69</v>
      </c>
      <c r="D353" s="7" t="n">
        <v>460</v>
      </c>
      <c r="E353" s="8" t="n">
        <v>245000</v>
      </c>
      <c r="F353" s="9" t="n">
        <v>73</v>
      </c>
      <c r="G353" s="10" t="n">
        <v>1678</v>
      </c>
      <c r="H353" s="11" t="n">
        <v>64925</v>
      </c>
      <c r="I353" s="12" t="n">
        <f aca="false">IFERROR(G353*1000/E353*1000,0)</f>
        <v>6848.97959183674</v>
      </c>
      <c r="J353" s="13" t="str">
        <f aca="false">IF(F353&gt;=95,"S",IF(F353&gt;=85,"A",IF(F353&gt;=70,"B",IF(F353&gt;=50,"C","D"))))</f>
        <v>B</v>
      </c>
      <c r="K353" s="14" t="s">
        <v>70</v>
      </c>
      <c r="L353" s="20" t="s">
        <v>36</v>
      </c>
    </row>
    <row r="354" customFormat="false" ht="15" hidden="false" customHeight="false" outlineLevel="0" collapsed="false">
      <c r="A354" s="4" t="s">
        <v>99</v>
      </c>
      <c r="B354" s="5" t="s">
        <v>73</v>
      </c>
      <c r="C354" s="26" t="s">
        <v>74</v>
      </c>
      <c r="D354" s="7" t="n">
        <v>80</v>
      </c>
      <c r="E354" s="8" t="n">
        <v>23000</v>
      </c>
      <c r="F354" s="9" t="n">
        <v>40.6</v>
      </c>
      <c r="G354" s="10" t="n">
        <v>0</v>
      </c>
      <c r="H354" s="11" t="n">
        <v>0</v>
      </c>
      <c r="I354" s="12" t="n">
        <v>0</v>
      </c>
      <c r="J354" s="13" t="str">
        <f aca="false">IF(F354&gt;=95,"S",IF(F354&gt;=85,"A",IF(F354&gt;=70,"B",IF(F354&gt;=50,"C","D"))))</f>
        <v>D</v>
      </c>
      <c r="K354" s="24" t="s">
        <v>79</v>
      </c>
      <c r="L354" s="16" t="s">
        <v>21</v>
      </c>
    </row>
    <row r="355" customFormat="false" ht="15" hidden="false" customHeight="false" outlineLevel="0" collapsed="false">
      <c r="A355" s="4" t="s">
        <v>99</v>
      </c>
      <c r="B355" s="5" t="s">
        <v>76</v>
      </c>
      <c r="C355" s="26" t="s">
        <v>74</v>
      </c>
      <c r="D355" s="7" t="n">
        <v>80</v>
      </c>
      <c r="E355" s="8" t="n">
        <v>21000</v>
      </c>
      <c r="F355" s="9" t="n">
        <v>36.8</v>
      </c>
      <c r="G355" s="10" t="n">
        <v>0</v>
      </c>
      <c r="H355" s="11" t="n">
        <v>0</v>
      </c>
      <c r="I355" s="12" t="n">
        <v>0</v>
      </c>
      <c r="J355" s="13" t="str">
        <f aca="false">IF(F355&gt;=95,"S",IF(F355&gt;=85,"A",IF(F355&gt;=70,"B",IF(F355&gt;=50,"C","D"))))</f>
        <v>D</v>
      </c>
      <c r="K355" s="14" t="s">
        <v>75</v>
      </c>
      <c r="L355" s="16" t="s">
        <v>21</v>
      </c>
    </row>
    <row r="356" customFormat="false" ht="15" hidden="false" customHeight="false" outlineLevel="0" collapsed="false">
      <c r="A356" s="4" t="s">
        <v>99</v>
      </c>
      <c r="B356" s="5" t="s">
        <v>78</v>
      </c>
      <c r="C356" s="26" t="s">
        <v>74</v>
      </c>
      <c r="D356" s="7" t="n">
        <v>100</v>
      </c>
      <c r="E356" s="8" t="n">
        <v>27000</v>
      </c>
      <c r="F356" s="9" t="n">
        <v>37.8</v>
      </c>
      <c r="G356" s="10" t="n">
        <v>0</v>
      </c>
      <c r="H356" s="11" t="n">
        <v>0</v>
      </c>
      <c r="I356" s="12" t="n">
        <v>0</v>
      </c>
      <c r="J356" s="13" t="str">
        <f aca="false">IF(F356&gt;=95,"S",IF(F356&gt;=85,"A",IF(F356&gt;=70,"B",IF(F356&gt;=50,"C","D"))))</f>
        <v>D</v>
      </c>
      <c r="K356" s="24" t="s">
        <v>79</v>
      </c>
      <c r="L356" s="20" t="s">
        <v>36</v>
      </c>
    </row>
    <row r="357" customFormat="false" ht="15" hidden="false" customHeight="false" outlineLevel="0" collapsed="false">
      <c r="A357" s="4" t="s">
        <v>100</v>
      </c>
      <c r="B357" s="27" t="s">
        <v>15</v>
      </c>
      <c r="C357" s="6" t="s">
        <v>16</v>
      </c>
      <c r="D357" s="28" t="n">
        <v>500</v>
      </c>
      <c r="E357" s="29" t="n">
        <v>348000</v>
      </c>
      <c r="F357" s="30" t="n">
        <v>95.6</v>
      </c>
      <c r="G357" s="31" t="n">
        <v>2603</v>
      </c>
      <c r="H357" s="32" t="n">
        <v>132936</v>
      </c>
      <c r="I357" s="33" t="n">
        <f aca="false">IFERROR(G357*1000/E357*1000,0)</f>
        <v>7479.88505747126</v>
      </c>
      <c r="J357" s="13" t="str">
        <f aca="false">IF(F357&gt;=95,"S",IF(F357&gt;=85,"A",IF(F357&gt;=70,"B",IF(F357&gt;=50,"C","D"))))</f>
        <v>S</v>
      </c>
      <c r="K357" s="14" t="s">
        <v>44</v>
      </c>
      <c r="L357" s="16" t="s">
        <v>21</v>
      </c>
    </row>
    <row r="358" customFormat="false" ht="15" hidden="false" customHeight="false" outlineLevel="0" collapsed="false">
      <c r="A358" s="4" t="s">
        <v>100</v>
      </c>
      <c r="B358" s="27" t="s">
        <v>19</v>
      </c>
      <c r="C358" s="6" t="s">
        <v>16</v>
      </c>
      <c r="D358" s="28" t="n">
        <v>500</v>
      </c>
      <c r="E358" s="29" t="n">
        <v>347000</v>
      </c>
      <c r="F358" s="30" t="n">
        <v>95.1</v>
      </c>
      <c r="G358" s="31" t="n">
        <v>2596</v>
      </c>
      <c r="H358" s="32" t="n">
        <v>132554</v>
      </c>
      <c r="I358" s="33" t="n">
        <f aca="false">IFERROR(G358*1000/E358*1000,0)</f>
        <v>7481.26801152738</v>
      </c>
      <c r="J358" s="13" t="str">
        <f aca="false">IF(F358&gt;=95,"S",IF(F358&gt;=85,"A",IF(F358&gt;=70,"B",IF(F358&gt;=50,"C","D"))))</f>
        <v>S</v>
      </c>
      <c r="K358" s="14" t="s">
        <v>20</v>
      </c>
      <c r="L358" s="16" t="s">
        <v>21</v>
      </c>
    </row>
    <row r="359" customFormat="false" ht="15" hidden="false" customHeight="false" outlineLevel="0" collapsed="false">
      <c r="A359" s="4" t="s">
        <v>100</v>
      </c>
      <c r="B359" s="27" t="s">
        <v>22</v>
      </c>
      <c r="C359" s="6" t="s">
        <v>16</v>
      </c>
      <c r="D359" s="28" t="n">
        <v>512</v>
      </c>
      <c r="E359" s="29" t="n">
        <v>361000</v>
      </c>
      <c r="F359" s="30" t="n">
        <v>96.9</v>
      </c>
      <c r="G359" s="31" t="n">
        <v>2700</v>
      </c>
      <c r="H359" s="32" t="n">
        <v>137902</v>
      </c>
      <c r="I359" s="33" t="n">
        <f aca="false">IFERROR(G359*1000/E359*1000,0)</f>
        <v>7479.2243767313</v>
      </c>
      <c r="J359" s="13" t="str">
        <f aca="false">IF(F359&gt;=95,"S",IF(F359&gt;=85,"A",IF(F359&gt;=70,"B",IF(F359&gt;=50,"C","D"))))</f>
        <v>S</v>
      </c>
      <c r="K359" s="14" t="s">
        <v>23</v>
      </c>
      <c r="L359" s="16" t="s">
        <v>21</v>
      </c>
    </row>
    <row r="360" customFormat="false" ht="15" hidden="false" customHeight="false" outlineLevel="0" collapsed="false">
      <c r="A360" s="4" t="s">
        <v>100</v>
      </c>
      <c r="B360" s="27" t="s">
        <v>24</v>
      </c>
      <c r="C360" s="6" t="s">
        <v>16</v>
      </c>
      <c r="D360" s="28" t="n">
        <v>500</v>
      </c>
      <c r="E360" s="29" t="n">
        <v>360000</v>
      </c>
      <c r="F360" s="30" t="n">
        <v>98.9</v>
      </c>
      <c r="G360" s="31" t="n">
        <v>2693</v>
      </c>
      <c r="H360" s="32" t="n">
        <v>137520</v>
      </c>
      <c r="I360" s="33" t="n">
        <f aca="false">IFERROR(G360*1000/E360*1000,0)</f>
        <v>7480.55555555556</v>
      </c>
      <c r="J360" s="13" t="str">
        <f aca="false">IF(F360&gt;=95,"S",IF(F360&gt;=85,"A",IF(F360&gt;=70,"B",IF(F360&gt;=50,"C","D"))))</f>
        <v>S</v>
      </c>
      <c r="K360" s="14" t="s">
        <v>86</v>
      </c>
      <c r="L360" s="16" t="s">
        <v>21</v>
      </c>
    </row>
    <row r="361" customFormat="false" ht="15" hidden="false" customHeight="false" outlineLevel="0" collapsed="false">
      <c r="A361" s="4" t="s">
        <v>100</v>
      </c>
      <c r="B361" s="27" t="s">
        <v>25</v>
      </c>
      <c r="C361" s="6" t="s">
        <v>16</v>
      </c>
      <c r="D361" s="28" t="n">
        <v>500</v>
      </c>
      <c r="E361" s="29" t="n">
        <v>360000</v>
      </c>
      <c r="F361" s="30" t="n">
        <v>98.7</v>
      </c>
      <c r="G361" s="31" t="n">
        <v>2693</v>
      </c>
      <c r="H361" s="32" t="n">
        <v>137520</v>
      </c>
      <c r="I361" s="33" t="n">
        <f aca="false">IFERROR(G361*1000/E361*1000,0)</f>
        <v>7480.55555555556</v>
      </c>
      <c r="J361" s="13" t="str">
        <f aca="false">IF(F361&gt;=95,"S",IF(F361&gt;=85,"A",IF(F361&gt;=70,"B",IF(F361&gt;=50,"C","D"))))</f>
        <v>S</v>
      </c>
      <c r="K361" s="14" t="s">
        <v>30</v>
      </c>
      <c r="L361" s="15" t="s">
        <v>18</v>
      </c>
    </row>
    <row r="362" customFormat="false" ht="15" hidden="false" customHeight="false" outlineLevel="0" collapsed="false">
      <c r="A362" s="4" t="s">
        <v>100</v>
      </c>
      <c r="B362" s="27" t="s">
        <v>28</v>
      </c>
      <c r="C362" s="6" t="s">
        <v>16</v>
      </c>
      <c r="D362" s="28" t="n">
        <v>480</v>
      </c>
      <c r="E362" s="29" t="n">
        <v>343000</v>
      </c>
      <c r="F362" s="30" t="n">
        <v>98</v>
      </c>
      <c r="G362" s="31" t="n">
        <v>2566</v>
      </c>
      <c r="H362" s="32" t="n">
        <v>131026</v>
      </c>
      <c r="I362" s="33" t="n">
        <f aca="false">IFERROR(G362*1000/E362*1000,0)</f>
        <v>7481.04956268222</v>
      </c>
      <c r="J362" s="13" t="str">
        <f aca="false">IF(F362&gt;=95,"S",IF(F362&gt;=85,"A",IF(F362&gt;=70,"B",IF(F362&gt;=50,"C","D"))))</f>
        <v>S</v>
      </c>
      <c r="K362" s="14" t="s">
        <v>86</v>
      </c>
      <c r="L362" s="16" t="s">
        <v>21</v>
      </c>
    </row>
    <row r="363" customFormat="false" ht="15" hidden="false" customHeight="false" outlineLevel="0" collapsed="false">
      <c r="A363" s="4" t="s">
        <v>100</v>
      </c>
      <c r="B363" s="27" t="s">
        <v>29</v>
      </c>
      <c r="C363" s="6" t="s">
        <v>16</v>
      </c>
      <c r="D363" s="28" t="n">
        <v>480</v>
      </c>
      <c r="E363" s="29" t="n">
        <v>338000</v>
      </c>
      <c r="F363" s="30" t="n">
        <v>96.6</v>
      </c>
      <c r="G363" s="31" t="n">
        <v>2528</v>
      </c>
      <c r="H363" s="32" t="n">
        <v>129116</v>
      </c>
      <c r="I363" s="33" t="n">
        <f aca="false">IFERROR(G363*1000/E363*1000,0)</f>
        <v>7479.2899408284</v>
      </c>
      <c r="J363" s="13" t="str">
        <f aca="false">IF(F363&gt;=95,"S",IF(F363&gt;=85,"A",IF(F363&gt;=70,"B",IF(F363&gt;=50,"C","D"))))</f>
        <v>S</v>
      </c>
      <c r="K363" s="14" t="s">
        <v>26</v>
      </c>
      <c r="L363" s="16" t="s">
        <v>21</v>
      </c>
    </row>
    <row r="364" customFormat="false" ht="15" hidden="false" customHeight="false" outlineLevel="0" collapsed="false">
      <c r="A364" s="4" t="s">
        <v>100</v>
      </c>
      <c r="B364" s="27" t="s">
        <v>31</v>
      </c>
      <c r="C364" s="6" t="s">
        <v>16</v>
      </c>
      <c r="D364" s="28" t="n">
        <v>495</v>
      </c>
      <c r="E364" s="29" t="n">
        <v>344000</v>
      </c>
      <c r="F364" s="30" t="n">
        <v>95.2</v>
      </c>
      <c r="G364" s="31" t="n">
        <v>2573</v>
      </c>
      <c r="H364" s="32" t="n">
        <v>131408</v>
      </c>
      <c r="I364" s="33" t="n">
        <f aca="false">IFERROR(G364*1000/E364*1000,0)</f>
        <v>7479.6511627907</v>
      </c>
      <c r="J364" s="13" t="str">
        <f aca="false">IF(F364&gt;=95,"S",IF(F364&gt;=85,"A",IF(F364&gt;=70,"B",IF(F364&gt;=50,"C","D"))))</f>
        <v>S</v>
      </c>
      <c r="K364" s="14" t="s">
        <v>30</v>
      </c>
      <c r="L364" s="16" t="s">
        <v>21</v>
      </c>
    </row>
    <row r="365" customFormat="false" ht="15" hidden="false" customHeight="false" outlineLevel="0" collapsed="false">
      <c r="A365" s="4" t="s">
        <v>100</v>
      </c>
      <c r="B365" s="27" t="s">
        <v>34</v>
      </c>
      <c r="C365" s="6" t="s">
        <v>16</v>
      </c>
      <c r="D365" s="28" t="n">
        <v>500</v>
      </c>
      <c r="E365" s="29" t="n">
        <v>363000</v>
      </c>
      <c r="F365" s="30" t="n">
        <v>99.6</v>
      </c>
      <c r="G365" s="31" t="n">
        <v>2715</v>
      </c>
      <c r="H365" s="32" t="n">
        <v>138666</v>
      </c>
      <c r="I365" s="33" t="n">
        <f aca="false">IFERROR(G365*1000/E365*1000,0)</f>
        <v>7479.33884297521</v>
      </c>
      <c r="J365" s="13" t="str">
        <f aca="false">IF(F365&gt;=95,"S",IF(F365&gt;=85,"A",IF(F365&gt;=70,"B",IF(F365&gt;=50,"C","D"))))</f>
        <v>S</v>
      </c>
      <c r="K365" s="14" t="s">
        <v>35</v>
      </c>
      <c r="L365" s="16" t="s">
        <v>21</v>
      </c>
    </row>
    <row r="366" customFormat="false" ht="15" hidden="false" customHeight="false" outlineLevel="0" collapsed="false">
      <c r="A366" s="4" t="s">
        <v>100</v>
      </c>
      <c r="B366" s="27" t="s">
        <v>37</v>
      </c>
      <c r="C366" s="6" t="s">
        <v>16</v>
      </c>
      <c r="D366" s="28" t="n">
        <v>520</v>
      </c>
      <c r="E366" s="29" t="n">
        <v>361000</v>
      </c>
      <c r="F366" s="30" t="n">
        <v>95.2</v>
      </c>
      <c r="G366" s="31" t="n">
        <v>2700</v>
      </c>
      <c r="H366" s="32" t="n">
        <v>137902</v>
      </c>
      <c r="I366" s="33" t="n">
        <f aca="false">IFERROR(G366*1000/E366*1000,0)</f>
        <v>7479.2243767313</v>
      </c>
      <c r="J366" s="13" t="str">
        <f aca="false">IF(F366&gt;=95,"S",IF(F366&gt;=85,"A",IF(F366&gt;=70,"B",IF(F366&gt;=50,"C","D"))))</f>
        <v>S</v>
      </c>
      <c r="K366" s="14" t="s">
        <v>86</v>
      </c>
      <c r="L366" s="17" t="s">
        <v>27</v>
      </c>
    </row>
    <row r="367" customFormat="false" ht="15" hidden="false" customHeight="false" outlineLevel="0" collapsed="false">
      <c r="A367" s="4" t="s">
        <v>100</v>
      </c>
      <c r="B367" s="27" t="s">
        <v>39</v>
      </c>
      <c r="C367" s="6" t="s">
        <v>16</v>
      </c>
      <c r="D367" s="28" t="n">
        <v>520</v>
      </c>
      <c r="E367" s="29" t="n">
        <v>359000</v>
      </c>
      <c r="F367" s="30" t="n">
        <v>94.8</v>
      </c>
      <c r="G367" s="31" t="n">
        <v>2685</v>
      </c>
      <c r="H367" s="32" t="n">
        <v>137138</v>
      </c>
      <c r="I367" s="33" t="n">
        <f aca="false">IFERROR(G367*1000/E367*1000,0)</f>
        <v>7479.10863509749</v>
      </c>
      <c r="J367" s="13" t="str">
        <f aca="false">IF(F367&gt;=95,"S",IF(F367&gt;=85,"A",IF(F367&gt;=70,"B",IF(F367&gt;=50,"C","D"))))</f>
        <v>A</v>
      </c>
      <c r="K367" s="14" t="s">
        <v>86</v>
      </c>
      <c r="L367" s="19" t="s">
        <v>33</v>
      </c>
    </row>
    <row r="368" customFormat="false" ht="15" hidden="false" customHeight="false" outlineLevel="0" collapsed="false">
      <c r="A368" s="4" t="s">
        <v>100</v>
      </c>
      <c r="B368" s="27" t="s">
        <v>40</v>
      </c>
      <c r="C368" s="6" t="s">
        <v>16</v>
      </c>
      <c r="D368" s="28" t="n">
        <v>530</v>
      </c>
      <c r="E368" s="29" t="n">
        <v>383000</v>
      </c>
      <c r="F368" s="30" t="n">
        <v>99.2</v>
      </c>
      <c r="G368" s="31" t="n">
        <v>2865</v>
      </c>
      <c r="H368" s="32" t="n">
        <v>146306</v>
      </c>
      <c r="I368" s="33" t="n">
        <f aca="false">IFERROR(G368*1000/E368*1000,0)</f>
        <v>7480.41775456919</v>
      </c>
      <c r="J368" s="13" t="str">
        <f aca="false">IF(F368&gt;=95,"S",IF(F368&gt;=85,"A",IF(F368&gt;=70,"B",IF(F368&gt;=50,"C","D"))))</f>
        <v>S</v>
      </c>
      <c r="K368" s="14" t="s">
        <v>23</v>
      </c>
      <c r="L368" s="16" t="s">
        <v>21</v>
      </c>
    </row>
    <row r="369" customFormat="false" ht="15" hidden="false" customHeight="false" outlineLevel="0" collapsed="false">
      <c r="A369" s="4" t="s">
        <v>100</v>
      </c>
      <c r="B369" s="27" t="s">
        <v>41</v>
      </c>
      <c r="C369" s="6" t="s">
        <v>16</v>
      </c>
      <c r="D369" s="28" t="n">
        <v>510</v>
      </c>
      <c r="E369" s="29" t="n">
        <v>370000</v>
      </c>
      <c r="F369" s="30" t="n">
        <v>99.6</v>
      </c>
      <c r="G369" s="31" t="n">
        <v>2768</v>
      </c>
      <c r="H369" s="32" t="n">
        <v>141340</v>
      </c>
      <c r="I369" s="33" t="n">
        <f aca="false">IFERROR(G369*1000/E369*1000,0)</f>
        <v>7481.08108108108</v>
      </c>
      <c r="J369" s="13" t="str">
        <f aca="false">IF(F369&gt;=95,"S",IF(F369&gt;=85,"A",IF(F369&gt;=70,"B",IF(F369&gt;=50,"C","D"))))</f>
        <v>S</v>
      </c>
      <c r="K369" s="14" t="s">
        <v>23</v>
      </c>
      <c r="L369" s="15" t="s">
        <v>18</v>
      </c>
    </row>
    <row r="370" customFormat="false" ht="15" hidden="false" customHeight="false" outlineLevel="0" collapsed="false">
      <c r="A370" s="4" t="s">
        <v>100</v>
      </c>
      <c r="B370" s="27" t="s">
        <v>42</v>
      </c>
      <c r="C370" s="6" t="s">
        <v>16</v>
      </c>
      <c r="D370" s="28" t="n">
        <v>510</v>
      </c>
      <c r="E370" s="29" t="n">
        <v>359000</v>
      </c>
      <c r="F370" s="30" t="n">
        <v>96.5</v>
      </c>
      <c r="G370" s="31" t="n">
        <v>2685</v>
      </c>
      <c r="H370" s="32" t="n">
        <v>137138</v>
      </c>
      <c r="I370" s="33" t="n">
        <f aca="false">IFERROR(G370*1000/E370*1000,0)</f>
        <v>7479.10863509749</v>
      </c>
      <c r="J370" s="13" t="str">
        <f aca="false">IF(F370&gt;=95,"S",IF(F370&gt;=85,"A",IF(F370&gt;=70,"B",IF(F370&gt;=50,"C","D"))))</f>
        <v>S</v>
      </c>
      <c r="K370" s="14" t="s">
        <v>30</v>
      </c>
      <c r="L370" s="20" t="s">
        <v>36</v>
      </c>
    </row>
    <row r="371" customFormat="false" ht="15" hidden="false" customHeight="false" outlineLevel="0" collapsed="false">
      <c r="A371" s="4" t="s">
        <v>100</v>
      </c>
      <c r="B371" s="27" t="s">
        <v>43</v>
      </c>
      <c r="C371" s="6" t="s">
        <v>16</v>
      </c>
      <c r="D371" s="28" t="n">
        <v>495</v>
      </c>
      <c r="E371" s="29" t="n">
        <v>345000</v>
      </c>
      <c r="F371" s="30" t="n">
        <v>95.6</v>
      </c>
      <c r="G371" s="31" t="n">
        <v>2581</v>
      </c>
      <c r="H371" s="32" t="n">
        <v>131790</v>
      </c>
      <c r="I371" s="33" t="n">
        <f aca="false">IFERROR(G371*1000/E371*1000,0)</f>
        <v>7481.15942028986</v>
      </c>
      <c r="J371" s="13" t="str">
        <f aca="false">IF(F371&gt;=95,"S",IF(F371&gt;=85,"A",IF(F371&gt;=70,"B",IF(F371&gt;=50,"C","D"))))</f>
        <v>S</v>
      </c>
      <c r="K371" s="14" t="s">
        <v>44</v>
      </c>
      <c r="L371" s="15" t="s">
        <v>18</v>
      </c>
    </row>
    <row r="372" customFormat="false" ht="15" hidden="false" customHeight="false" outlineLevel="0" collapsed="false">
      <c r="A372" s="4" t="s">
        <v>100</v>
      </c>
      <c r="B372" s="35" t="s">
        <v>45</v>
      </c>
      <c r="C372" s="22" t="s">
        <v>46</v>
      </c>
      <c r="D372" s="28" t="n">
        <v>200</v>
      </c>
      <c r="E372" s="29" t="n">
        <v>131000</v>
      </c>
      <c r="F372" s="30" t="n">
        <v>89.8</v>
      </c>
      <c r="G372" s="31" t="n">
        <v>972</v>
      </c>
      <c r="H372" s="32" t="n">
        <v>39431</v>
      </c>
      <c r="I372" s="33" t="n">
        <f aca="false">IFERROR(G372*1000/E372*1000,0)</f>
        <v>7419.84732824428</v>
      </c>
      <c r="J372" s="13" t="str">
        <f aca="false">IF(F372&gt;=95,"S",IF(F372&gt;=85,"A",IF(F372&gt;=70,"B",IF(F372&gt;=50,"C","D"))))</f>
        <v>A</v>
      </c>
      <c r="K372" s="14" t="s">
        <v>49</v>
      </c>
      <c r="L372" s="16" t="s">
        <v>21</v>
      </c>
    </row>
    <row r="373" customFormat="false" ht="15" hidden="false" customHeight="false" outlineLevel="0" collapsed="false">
      <c r="A373" s="4" t="s">
        <v>100</v>
      </c>
      <c r="B373" s="35" t="s">
        <v>48</v>
      </c>
      <c r="C373" s="22" t="s">
        <v>46</v>
      </c>
      <c r="D373" s="28" t="n">
        <v>220</v>
      </c>
      <c r="E373" s="29" t="n">
        <v>143000</v>
      </c>
      <c r="F373" s="30" t="n">
        <v>89.2</v>
      </c>
      <c r="G373" s="31" t="n">
        <v>1061</v>
      </c>
      <c r="H373" s="32" t="n">
        <v>43043</v>
      </c>
      <c r="I373" s="33" t="n">
        <f aca="false">IFERROR(G373*1000/E373*1000,0)</f>
        <v>7419.58041958042</v>
      </c>
      <c r="J373" s="13" t="str">
        <f aca="false">IF(F373&gt;=95,"S",IF(F373&gt;=85,"A",IF(F373&gt;=70,"B",IF(F373&gt;=50,"C","D"))))</f>
        <v>A</v>
      </c>
      <c r="K373" s="14" t="s">
        <v>49</v>
      </c>
      <c r="L373" s="15" t="s">
        <v>18</v>
      </c>
    </row>
    <row r="374" customFormat="false" ht="15" hidden="false" customHeight="false" outlineLevel="0" collapsed="false">
      <c r="A374" s="4" t="s">
        <v>100</v>
      </c>
      <c r="B374" s="27" t="s">
        <v>50</v>
      </c>
      <c r="C374" s="23" t="s">
        <v>51</v>
      </c>
      <c r="D374" s="28" t="n">
        <v>147</v>
      </c>
      <c r="E374" s="29" t="n">
        <v>46000</v>
      </c>
      <c r="F374" s="30" t="n">
        <v>43.5</v>
      </c>
      <c r="G374" s="31" t="n">
        <v>0</v>
      </c>
      <c r="H374" s="32" t="n">
        <v>0</v>
      </c>
      <c r="I374" s="33" t="n">
        <v>0</v>
      </c>
      <c r="J374" s="13" t="str">
        <f aca="false">IF(F374&gt;=95,"S",IF(F374&gt;=85,"A",IF(F374&gt;=70,"B",IF(F374&gt;=50,"C","D"))))</f>
        <v>D</v>
      </c>
      <c r="K374" s="14" t="s">
        <v>82</v>
      </c>
      <c r="L374" s="20" t="s">
        <v>36</v>
      </c>
    </row>
    <row r="375" customFormat="false" ht="15" hidden="false" customHeight="false" outlineLevel="0" collapsed="false">
      <c r="A375" s="4" t="s">
        <v>100</v>
      </c>
      <c r="B375" s="27" t="s">
        <v>53</v>
      </c>
      <c r="C375" s="23" t="s">
        <v>51</v>
      </c>
      <c r="D375" s="28" t="n">
        <v>320</v>
      </c>
      <c r="E375" s="29" t="n">
        <v>107000</v>
      </c>
      <c r="F375" s="30" t="n">
        <v>45.9</v>
      </c>
      <c r="G375" s="31" t="n">
        <v>0</v>
      </c>
      <c r="H375" s="32" t="n">
        <v>0</v>
      </c>
      <c r="I375" s="33" t="n">
        <v>0</v>
      </c>
      <c r="J375" s="13" t="str">
        <f aca="false">IF(F375&gt;=95,"S",IF(F375&gt;=85,"A",IF(F375&gt;=70,"B",IF(F375&gt;=50,"C","D"))))</f>
        <v>D</v>
      </c>
      <c r="K375" s="34"/>
      <c r="L375" s="20" t="s">
        <v>36</v>
      </c>
    </row>
    <row r="376" customFormat="false" ht="15" hidden="false" customHeight="false" outlineLevel="0" collapsed="false">
      <c r="A376" s="4" t="s">
        <v>100</v>
      </c>
      <c r="B376" s="27" t="s">
        <v>55</v>
      </c>
      <c r="C376" s="23" t="s">
        <v>51</v>
      </c>
      <c r="D376" s="28" t="n">
        <v>250</v>
      </c>
      <c r="E376" s="29" t="n">
        <v>83000</v>
      </c>
      <c r="F376" s="30" t="n">
        <v>45.9</v>
      </c>
      <c r="G376" s="31" t="n">
        <v>0</v>
      </c>
      <c r="H376" s="32" t="n">
        <v>0</v>
      </c>
      <c r="I376" s="33" t="n">
        <v>0</v>
      </c>
      <c r="J376" s="13" t="str">
        <f aca="false">IF(F376&gt;=95,"S",IF(F376&gt;=85,"A",IF(F376&gt;=70,"B",IF(F376&gt;=50,"C","D"))))</f>
        <v>D</v>
      </c>
      <c r="K376" s="14" t="s">
        <v>63</v>
      </c>
      <c r="L376" s="17" t="s">
        <v>27</v>
      </c>
    </row>
    <row r="377" customFormat="false" ht="15" hidden="false" customHeight="false" outlineLevel="0" collapsed="false">
      <c r="A377" s="4" t="s">
        <v>100</v>
      </c>
      <c r="B377" s="27" t="s">
        <v>57</v>
      </c>
      <c r="C377" s="23" t="s">
        <v>51</v>
      </c>
      <c r="D377" s="28" t="n">
        <v>180</v>
      </c>
      <c r="E377" s="29" t="n">
        <v>66000</v>
      </c>
      <c r="F377" s="30" t="n">
        <v>50.9</v>
      </c>
      <c r="G377" s="31" t="n">
        <v>0</v>
      </c>
      <c r="H377" s="32" t="n">
        <v>0</v>
      </c>
      <c r="I377" s="33" t="n">
        <v>0</v>
      </c>
      <c r="J377" s="13" t="str">
        <f aca="false">IF(F377&gt;=95,"S",IF(F377&gt;=85,"A",IF(F377&gt;=70,"B",IF(F377&gt;=50,"C","D"))))</f>
        <v>C</v>
      </c>
      <c r="K377" s="14" t="s">
        <v>82</v>
      </c>
      <c r="L377" s="16" t="s">
        <v>21</v>
      </c>
    </row>
    <row r="378" customFormat="false" ht="15" hidden="false" customHeight="false" outlineLevel="0" collapsed="false">
      <c r="A378" s="4" t="s">
        <v>100</v>
      </c>
      <c r="B378" s="27" t="s">
        <v>58</v>
      </c>
      <c r="C378" s="23" t="s">
        <v>51</v>
      </c>
      <c r="D378" s="28" t="n">
        <v>95</v>
      </c>
      <c r="E378" s="29" t="n">
        <v>32000</v>
      </c>
      <c r="F378" s="30" t="n">
        <v>46.3</v>
      </c>
      <c r="G378" s="31" t="n">
        <v>0</v>
      </c>
      <c r="H378" s="32" t="n">
        <v>0</v>
      </c>
      <c r="I378" s="33" t="n">
        <v>0</v>
      </c>
      <c r="J378" s="13" t="str">
        <f aca="false">IF(F378&gt;=95,"S",IF(F378&gt;=85,"A",IF(F378&gt;=70,"B",IF(F378&gt;=50,"C","D"))))</f>
        <v>D</v>
      </c>
      <c r="K378" s="14" t="s">
        <v>63</v>
      </c>
      <c r="L378" s="16" t="s">
        <v>21</v>
      </c>
    </row>
    <row r="379" customFormat="false" ht="15" hidden="false" customHeight="false" outlineLevel="0" collapsed="false">
      <c r="A379" s="4" t="s">
        <v>100</v>
      </c>
      <c r="B379" s="27" t="s">
        <v>59</v>
      </c>
      <c r="C379" s="23" t="s">
        <v>51</v>
      </c>
      <c r="D379" s="28" t="n">
        <v>32</v>
      </c>
      <c r="E379" s="29" t="n">
        <v>1000</v>
      </c>
      <c r="F379" s="30" t="n">
        <v>7.5</v>
      </c>
      <c r="G379" s="31" t="n">
        <v>0</v>
      </c>
      <c r="H379" s="32" t="n">
        <v>0</v>
      </c>
      <c r="I379" s="33" t="n">
        <v>0</v>
      </c>
      <c r="J379" s="13" t="str">
        <f aca="false">IF(F379&gt;=95,"S",IF(F379&gt;=85,"A",IF(F379&gt;=70,"B",IF(F379&gt;=50,"C","D"))))</f>
        <v>D</v>
      </c>
      <c r="K379" s="34"/>
      <c r="L379" s="16" t="s">
        <v>21</v>
      </c>
    </row>
    <row r="380" customFormat="false" ht="15" hidden="false" customHeight="false" outlineLevel="0" collapsed="false">
      <c r="A380" s="4" t="s">
        <v>100</v>
      </c>
      <c r="B380" s="27" t="s">
        <v>61</v>
      </c>
      <c r="C380" s="23" t="s">
        <v>51</v>
      </c>
      <c r="D380" s="28" t="n">
        <v>220</v>
      </c>
      <c r="E380" s="29" t="n">
        <v>9000</v>
      </c>
      <c r="F380" s="30" t="n">
        <v>6.2</v>
      </c>
      <c r="G380" s="31" t="n">
        <v>0</v>
      </c>
      <c r="H380" s="32" t="n">
        <v>0</v>
      </c>
      <c r="I380" s="33" t="n">
        <v>0</v>
      </c>
      <c r="J380" s="13" t="str">
        <f aca="false">IF(F380&gt;=95,"S",IF(F380&gt;=85,"A",IF(F380&gt;=70,"B",IF(F380&gt;=50,"C","D"))))</f>
        <v>D</v>
      </c>
      <c r="K380" s="14" t="s">
        <v>60</v>
      </c>
      <c r="L380" s="19" t="s">
        <v>33</v>
      </c>
    </row>
    <row r="381" customFormat="false" ht="15" hidden="false" customHeight="false" outlineLevel="0" collapsed="false">
      <c r="A381" s="4" t="s">
        <v>100</v>
      </c>
      <c r="B381" s="27" t="s">
        <v>62</v>
      </c>
      <c r="C381" s="23" t="s">
        <v>51</v>
      </c>
      <c r="D381" s="28" t="n">
        <v>85</v>
      </c>
      <c r="E381" s="29" t="n">
        <v>4000</v>
      </c>
      <c r="F381" s="30" t="n">
        <v>7</v>
      </c>
      <c r="G381" s="31" t="n">
        <v>0</v>
      </c>
      <c r="H381" s="32" t="n">
        <v>0</v>
      </c>
      <c r="I381" s="33" t="n">
        <v>0</v>
      </c>
      <c r="J381" s="13" t="str">
        <f aca="false">IF(F381&gt;=95,"S",IF(F381&gt;=85,"A",IF(F381&gt;=70,"B",IF(F381&gt;=50,"C","D"))))</f>
        <v>D</v>
      </c>
      <c r="K381" s="14" t="s">
        <v>67</v>
      </c>
      <c r="L381" s="16" t="s">
        <v>21</v>
      </c>
    </row>
    <row r="382" customFormat="false" ht="15" hidden="false" customHeight="false" outlineLevel="0" collapsed="false">
      <c r="A382" s="4" t="s">
        <v>100</v>
      </c>
      <c r="B382" s="27" t="s">
        <v>64</v>
      </c>
      <c r="C382" s="23" t="s">
        <v>51</v>
      </c>
      <c r="D382" s="28" t="n">
        <v>60</v>
      </c>
      <c r="E382" s="29" t="n">
        <v>2000</v>
      </c>
      <c r="F382" s="30" t="n">
        <v>6.6</v>
      </c>
      <c r="G382" s="31" t="n">
        <v>0</v>
      </c>
      <c r="H382" s="32" t="n">
        <v>0</v>
      </c>
      <c r="I382" s="33" t="n">
        <v>0</v>
      </c>
      <c r="J382" s="13" t="str">
        <f aca="false">IF(F382&gt;=95,"S",IF(F382&gt;=85,"A",IF(F382&gt;=70,"B",IF(F382&gt;=50,"C","D"))))</f>
        <v>D</v>
      </c>
      <c r="K382" s="14" t="s">
        <v>65</v>
      </c>
      <c r="L382" s="16" t="s">
        <v>21</v>
      </c>
    </row>
    <row r="383" customFormat="false" ht="15" hidden="false" customHeight="false" outlineLevel="0" collapsed="false">
      <c r="A383" s="4" t="s">
        <v>100</v>
      </c>
      <c r="B383" s="27" t="s">
        <v>66</v>
      </c>
      <c r="C383" s="23" t="s">
        <v>51</v>
      </c>
      <c r="D383" s="28" t="n">
        <v>75</v>
      </c>
      <c r="E383" s="29" t="n">
        <v>3000</v>
      </c>
      <c r="F383" s="30" t="n">
        <v>5.8</v>
      </c>
      <c r="G383" s="31" t="n">
        <v>0</v>
      </c>
      <c r="H383" s="32" t="n">
        <v>0</v>
      </c>
      <c r="I383" s="33" t="n">
        <v>0</v>
      </c>
      <c r="J383" s="13" t="str">
        <f aca="false">IF(F383&gt;=95,"S",IF(F383&gt;=85,"A",IF(F383&gt;=70,"B",IF(F383&gt;=50,"C","D"))))</f>
        <v>D</v>
      </c>
      <c r="K383" s="14" t="s">
        <v>52</v>
      </c>
      <c r="L383" s="16" t="s">
        <v>21</v>
      </c>
    </row>
    <row r="384" customFormat="false" ht="15" hidden="false" customHeight="false" outlineLevel="0" collapsed="false">
      <c r="A384" s="4" t="s">
        <v>100</v>
      </c>
      <c r="B384" s="27" t="s">
        <v>68</v>
      </c>
      <c r="C384" s="25" t="s">
        <v>69</v>
      </c>
      <c r="D384" s="28" t="n">
        <v>460</v>
      </c>
      <c r="E384" s="29" t="n">
        <v>288000</v>
      </c>
      <c r="F384" s="30" t="n">
        <v>86.1</v>
      </c>
      <c r="G384" s="31" t="n">
        <v>1973</v>
      </c>
      <c r="H384" s="32" t="n">
        <v>76320</v>
      </c>
      <c r="I384" s="33" t="n">
        <f aca="false">IFERROR(G384*1000/E384*1000,0)</f>
        <v>6850.69444444444</v>
      </c>
      <c r="J384" s="13" t="str">
        <f aca="false">IF(F384&gt;=95,"S",IF(F384&gt;=85,"A",IF(F384&gt;=70,"B",IF(F384&gt;=50,"C","D"))))</f>
        <v>A</v>
      </c>
      <c r="K384" s="14" t="s">
        <v>94</v>
      </c>
      <c r="L384" s="16" t="s">
        <v>21</v>
      </c>
    </row>
    <row r="385" customFormat="false" ht="15" hidden="false" customHeight="false" outlineLevel="0" collapsed="false">
      <c r="A385" s="4" t="s">
        <v>100</v>
      </c>
      <c r="B385" s="27" t="s">
        <v>71</v>
      </c>
      <c r="C385" s="25" t="s">
        <v>69</v>
      </c>
      <c r="D385" s="28" t="n">
        <v>460</v>
      </c>
      <c r="E385" s="29" t="n">
        <v>297000</v>
      </c>
      <c r="F385" s="30" t="n">
        <v>88.5</v>
      </c>
      <c r="G385" s="31" t="n">
        <v>2034</v>
      </c>
      <c r="H385" s="32" t="n">
        <v>78705</v>
      </c>
      <c r="I385" s="33" t="n">
        <f aca="false">IFERROR(G385*1000/E385*1000,0)</f>
        <v>6848.48484848485</v>
      </c>
      <c r="J385" s="13" t="str">
        <f aca="false">IF(F385&gt;=95,"S",IF(F385&gt;=85,"A",IF(F385&gt;=70,"B",IF(F385&gt;=50,"C","D"))))</f>
        <v>A</v>
      </c>
      <c r="K385" s="14" t="s">
        <v>72</v>
      </c>
      <c r="L385" s="15" t="s">
        <v>18</v>
      </c>
    </row>
    <row r="386" customFormat="false" ht="15" hidden="false" customHeight="false" outlineLevel="0" collapsed="false">
      <c r="A386" s="4" t="s">
        <v>100</v>
      </c>
      <c r="B386" s="27" t="s">
        <v>73</v>
      </c>
      <c r="C386" s="26" t="s">
        <v>74</v>
      </c>
      <c r="D386" s="28" t="n">
        <v>80</v>
      </c>
      <c r="E386" s="29" t="n">
        <v>26000</v>
      </c>
      <c r="F386" s="30" t="n">
        <v>46.1</v>
      </c>
      <c r="G386" s="31" t="n">
        <v>0</v>
      </c>
      <c r="H386" s="32" t="n">
        <v>0</v>
      </c>
      <c r="I386" s="33" t="n">
        <v>0</v>
      </c>
      <c r="J386" s="13" t="str">
        <f aca="false">IF(F386&gt;=95,"S",IF(F386&gt;=85,"A",IF(F386&gt;=70,"B",IF(F386&gt;=50,"C","D"))))</f>
        <v>D</v>
      </c>
      <c r="K386" s="14" t="s">
        <v>84</v>
      </c>
      <c r="L386" s="20" t="s">
        <v>36</v>
      </c>
    </row>
    <row r="387" customFormat="false" ht="15" hidden="false" customHeight="false" outlineLevel="0" collapsed="false">
      <c r="A387" s="4" t="s">
        <v>100</v>
      </c>
      <c r="B387" s="27" t="s">
        <v>76</v>
      </c>
      <c r="C387" s="26" t="s">
        <v>74</v>
      </c>
      <c r="D387" s="28" t="n">
        <v>80</v>
      </c>
      <c r="E387" s="29" t="n">
        <v>22000</v>
      </c>
      <c r="F387" s="30" t="n">
        <v>38.2</v>
      </c>
      <c r="G387" s="31" t="n">
        <v>0</v>
      </c>
      <c r="H387" s="32" t="n">
        <v>0</v>
      </c>
      <c r="I387" s="33" t="n">
        <v>0</v>
      </c>
      <c r="J387" s="13" t="str">
        <f aca="false">IF(F387&gt;=95,"S",IF(F387&gt;=85,"A",IF(F387&gt;=70,"B",IF(F387&gt;=50,"C","D"))))</f>
        <v>D</v>
      </c>
      <c r="K387" s="24" t="s">
        <v>79</v>
      </c>
      <c r="L387" s="16" t="s">
        <v>21</v>
      </c>
    </row>
    <row r="388" customFormat="false" ht="15" hidden="false" customHeight="false" outlineLevel="0" collapsed="false">
      <c r="A388" s="4" t="s">
        <v>100</v>
      </c>
      <c r="B388" s="27" t="s">
        <v>78</v>
      </c>
      <c r="C388" s="26" t="s">
        <v>74</v>
      </c>
      <c r="D388" s="28" t="n">
        <v>100</v>
      </c>
      <c r="E388" s="29" t="n">
        <v>26000</v>
      </c>
      <c r="F388" s="30" t="n">
        <v>36.7</v>
      </c>
      <c r="G388" s="31" t="n">
        <v>0</v>
      </c>
      <c r="H388" s="32" t="n">
        <v>0</v>
      </c>
      <c r="I388" s="33" t="n">
        <v>0</v>
      </c>
      <c r="J388" s="13" t="str">
        <f aca="false">IF(F388&gt;=95,"S",IF(F388&gt;=85,"A",IF(F388&gt;=70,"B",IF(F388&gt;=50,"C","D"))))</f>
        <v>D</v>
      </c>
      <c r="K388" s="14" t="s">
        <v>84</v>
      </c>
      <c r="L388" s="16" t="s">
        <v>21</v>
      </c>
    </row>
  </sheetData>
  <mergeCells count="2">
    <mergeCell ref="A1:L1"/>
    <mergeCell ref="A2:L2"/>
  </mergeCells>
  <conditionalFormatting sqref="F5:F388">
    <cfRule type="colorScale" priority="2">
      <colorScale>
        <cfvo type="min" val="0"/>
        <cfvo type="percentile" val="50"/>
        <cfvo type="max" val="0"/>
        <color rgb="FFFFEB3B"/>
        <color rgb="FFFF9800"/>
        <color rgb="FFD32F2F"/>
      </colorScale>
    </cfRule>
  </conditionalFormatting>
  <conditionalFormatting sqref="E5:E388">
    <cfRule type="dataBar" priority="3">
      <dataBar showValue="1" minLength="10" maxLength="90">
        <cfvo type="min" val="0"/>
        <cfvo type="max" val="0"/>
        <color rgb="FFFF6F00"/>
      </dataBar>
      <extLst>
        <ext xmlns:x14="http://schemas.microsoft.com/office/spreadsheetml/2009/9/main" uri="{B025F937-C7B1-47D3-B67F-A62EFF666E3E}">
          <x14:id>{2026C960-E3E8-40D9-9042-211FCCA95058}</x14:id>
        </ext>
      </extLst>
    </cfRule>
  </conditionalFormatting>
  <conditionalFormatting sqref="H5:H388">
    <cfRule type="colorScale" priority="4">
      <colorScale>
        <cfvo type="min" val="0"/>
        <cfvo type="percentile" val="50"/>
        <cfvo type="max" val="0"/>
        <color rgb="FFC8E6C9"/>
        <color rgb="FFFFE082"/>
        <color rgb="FFEF53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26C960-E3E8-40D9-9042-211FCCA95058}">
            <x14:dataBar minLength="10" maxLength="90" axisPosition="none" gradient="true">
              <x14:cfvo type="min"/>
              <x14:cfvo type="max"/>
              <x14:negativeFillColor rgb="FFFF6F00"/>
              <x14:axisColor rgb="FF000000"/>
            </x14:dataBar>
          </x14:cfRule>
          <xm:sqref>E5:E388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37.5" hidden="false" customHeight="true" outlineLevel="0" collapsed="false">
      <c r="A1" s="36" t="s">
        <v>101</v>
      </c>
      <c r="B1" s="36"/>
      <c r="C1" s="36"/>
      <c r="D1" s="36"/>
      <c r="E1" s="36"/>
      <c r="F1" s="36"/>
    </row>
    <row r="3" customFormat="false" ht="36" hidden="false" customHeight="true" outlineLevel="0" collapsed="false">
      <c r="A3" s="3" t="s">
        <v>4</v>
      </c>
      <c r="B3" s="3" t="s">
        <v>102</v>
      </c>
      <c r="C3" s="3" t="s">
        <v>103</v>
      </c>
      <c r="D3" s="3" t="s">
        <v>104</v>
      </c>
      <c r="E3" s="3" t="s">
        <v>105</v>
      </c>
      <c r="F3" s="3" t="s">
        <v>106</v>
      </c>
    </row>
    <row r="4" customFormat="false" ht="15" hidden="false" customHeight="false" outlineLevel="0" collapsed="false">
      <c r="A4" s="37" t="s">
        <v>16</v>
      </c>
      <c r="B4" s="38" t="n">
        <v>15</v>
      </c>
      <c r="C4" s="39" t="n">
        <v>7552</v>
      </c>
      <c r="D4" s="39" t="n">
        <f aca="false">SUMIF(발전소_2026!C5:C388,"LNG",발전소_2026!E5:E388)</f>
        <v>55353000</v>
      </c>
      <c r="E4" s="39" t="n">
        <f aca="false">SUMIF(발전소_2026!C5:C388,"LNG",발전소_2026!H5:H388)</f>
        <v>21144846</v>
      </c>
      <c r="F4" s="40" t="n">
        <f aca="false">AVERAGEIF(발전소_2026!C5:C388,"LNG",발전소_2026!F5:F388)</f>
        <v>83.8055555555556</v>
      </c>
    </row>
    <row r="5" customFormat="false" ht="15" hidden="false" customHeight="false" outlineLevel="0" collapsed="false">
      <c r="A5" s="41" t="s">
        <v>46</v>
      </c>
      <c r="B5" s="38" t="n">
        <v>2</v>
      </c>
      <c r="C5" s="39" t="n">
        <v>420</v>
      </c>
      <c r="D5" s="39" t="n">
        <f aca="false">SUMIF(발전소_2026!C5:C388,"부생가스",발전소_2026!E5:E388)</f>
        <v>3201000</v>
      </c>
      <c r="E5" s="39" t="n">
        <f aca="false">SUMIF(발전소_2026!C5:C388,"부생가스",발전소_2026!H5:H388)</f>
        <v>963501</v>
      </c>
      <c r="F5" s="40" t="n">
        <f aca="false">AVERAGEIF(발전소_2026!C5:C388,"부생가스",발전소_2026!F5:F388)</f>
        <v>87.3875</v>
      </c>
    </row>
    <row r="6" customFormat="false" ht="15" hidden="false" customHeight="false" outlineLevel="0" collapsed="false">
      <c r="A6" s="42" t="s">
        <v>51</v>
      </c>
      <c r="B6" s="38" t="n">
        <v>10</v>
      </c>
      <c r="C6" s="39" t="n">
        <v>1464</v>
      </c>
      <c r="D6" s="39" t="n">
        <f aca="false">SUMIF(발전소_2026!C5:C388,"재생",발전소_2026!E5:E388)</f>
        <v>3694000</v>
      </c>
      <c r="E6" s="39" t="n">
        <f aca="false">SUMIF(발전소_2026!C5:C388,"재생",발전소_2026!H5:H388)</f>
        <v>0</v>
      </c>
      <c r="F6" s="40" t="n">
        <f aca="false">AVERAGEIF(발전소_2026!C5:C388,"재생",발전소_2026!F5:F388)</f>
        <v>25.0041666666667</v>
      </c>
    </row>
    <row r="7" customFormat="false" ht="15" hidden="false" customHeight="false" outlineLevel="0" collapsed="false">
      <c r="A7" s="43" t="s">
        <v>69</v>
      </c>
      <c r="B7" s="38" t="n">
        <v>2</v>
      </c>
      <c r="C7" s="39" t="n">
        <v>920</v>
      </c>
      <c r="D7" s="39" t="n">
        <f aca="false">SUMIF(발전소_2026!C5:C388,"수소혼소",발전소_2026!E5:E388)</f>
        <v>6159000</v>
      </c>
      <c r="E7" s="39" t="n">
        <f aca="false">SUMIF(발전소_2026!C5:C388,"수소혼소",발전소_2026!H5:H388)</f>
        <v>1632135</v>
      </c>
      <c r="F7" s="40" t="n">
        <f aca="false">AVERAGEIF(발전소_2026!C5:C388,"수소혼소",발전소_2026!F5:F388)</f>
        <v>76.5875</v>
      </c>
    </row>
    <row r="8" customFormat="false" ht="15" hidden="false" customHeight="false" outlineLevel="0" collapsed="false">
      <c r="A8" s="44" t="s">
        <v>74</v>
      </c>
      <c r="B8" s="38" t="n">
        <v>3</v>
      </c>
      <c r="C8" s="39" t="n">
        <v>260</v>
      </c>
      <c r="D8" s="39" t="n">
        <f aca="false">SUMIF(발전소_2026!C5:C388,"ESS",발전소_2026!E5:E388)</f>
        <v>918000</v>
      </c>
      <c r="E8" s="39" t="n">
        <f aca="false">SUMIF(발전소_2026!C5:C388,"ESS",발전소_2026!H5:H388)</f>
        <v>0</v>
      </c>
      <c r="F8" s="40" t="n">
        <f aca="false">AVERAGEIF(발전소_2026!C5:C388,"ESS",발전소_2026!F5:F388)</f>
        <v>41.2472222222222</v>
      </c>
    </row>
    <row r="9" customFormat="false" ht="15" hidden="false" customHeight="false" outlineLevel="0" collapsed="false">
      <c r="A9" s="45" t="s">
        <v>107</v>
      </c>
      <c r="B9" s="46" t="n">
        <f aca="false">SUM(B4:B8)</f>
        <v>32</v>
      </c>
      <c r="C9" s="47" t="n">
        <f aca="false">SUM(C4:C8)</f>
        <v>10616</v>
      </c>
      <c r="D9" s="47" t="n">
        <f aca="false">SUM(D4:D8)</f>
        <v>69325000</v>
      </c>
      <c r="E9" s="47" t="n">
        <f aca="false">SUM(E4:E8)</f>
        <v>23740482</v>
      </c>
      <c r="F9" s="48" t="n">
        <f aca="false">AVERAGE(F4:F8)</f>
        <v>62.8063888888889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2026-05-05T10:54:29Z</dcterms:created>
  <dc:creator>openpyxl</dc:creator>
  <dc:description/>
  <dc:language>en-US</dc:language>
  <cp:lastModifiedBy/>
  <dcterms:modified xsi:type="dcterms:W3CDTF">2026-05-05T10:54:30Z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
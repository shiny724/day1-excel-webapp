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거래내역_2026" sheetId="1" state="visible" r:id="rId3"/>
    <sheet name="📊 부문별_분석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<sst xmlns="http://schemas.openxmlformats.org/spreadsheetml/2006/main" count="2216" uniqueCount="582">
  <si>
    <t xml:space="preserve">💎 GLOBAL TRADING LEDGER 2026</t>
  </si>
  <si>
    <t xml:space="preserve">★ Premium Trade Transaction Records — Steel · Energy · Mobility · Food · Bio ★</t>
  </si>
  <si>
    <t xml:space="preserve">거래일</t>
  </si>
  <si>
    <t xml:space="preserve">거래번호</t>
  </si>
  <si>
    <t xml:space="preserve">사업부문</t>
  </si>
  <si>
    <t xml:space="preserve">제품군</t>
  </si>
  <si>
    <t xml:space="preserve">원산지</t>
  </si>
  <si>
    <t xml:space="preserve">도착지</t>
  </si>
  <si>
    <t xml:space="preserve">고객사</t>
  </si>
  <si>
    <r>
      <rPr>
        <b val="true"/>
        <sz val="11"/>
        <color rgb="FFC9A227"/>
        <rFont val="DejaVu Sans"/>
        <family val="2"/>
      </rPr>
      <t xml:space="preserve">거래량</t>
    </r>
    <r>
      <rPr>
        <b val="true"/>
        <sz val="11"/>
        <color rgb="FFC9A227"/>
        <rFont val="맑은 고딕"/>
        <family val="0"/>
        <charset val="1"/>
      </rPr>
      <t xml:space="preserve">(</t>
    </r>
    <r>
      <rPr>
        <b val="true"/>
        <sz val="11"/>
        <color rgb="FFC9A227"/>
        <rFont val="DejaVu Sans"/>
        <family val="2"/>
      </rPr>
      <t xml:space="preserve">톤</t>
    </r>
    <r>
      <rPr>
        <b val="true"/>
        <sz val="11"/>
        <color rgb="FFC9A227"/>
        <rFont val="맑은 고딕"/>
        <family val="0"/>
        <charset val="1"/>
      </rPr>
      <t xml:space="preserve">)</t>
    </r>
  </si>
  <si>
    <r>
      <rPr>
        <b val="true"/>
        <sz val="11"/>
        <color rgb="FFC9A227"/>
        <rFont val="DejaVu Sans"/>
        <family val="2"/>
      </rPr>
      <t xml:space="preserve">단가</t>
    </r>
    <r>
      <rPr>
        <b val="true"/>
        <sz val="11"/>
        <color rgb="FFC9A227"/>
        <rFont val="맑은 고딕"/>
        <family val="0"/>
        <charset val="1"/>
      </rPr>
      <t xml:space="preserve">(USD)</t>
    </r>
  </si>
  <si>
    <r>
      <rPr>
        <b val="true"/>
        <sz val="11"/>
        <color rgb="FFC9A227"/>
        <rFont val="DejaVu Sans"/>
        <family val="2"/>
      </rPr>
      <t xml:space="preserve">총액</t>
    </r>
    <r>
      <rPr>
        <b val="true"/>
        <sz val="11"/>
        <color rgb="FFC9A227"/>
        <rFont val="맑은 고딕"/>
        <family val="0"/>
        <charset val="1"/>
      </rPr>
      <t xml:space="preserve">(USD)</t>
    </r>
  </si>
  <si>
    <t xml:space="preserve">거래유형</t>
  </si>
  <si>
    <t xml:space="preserve">담당지점</t>
  </si>
  <si>
    <t xml:space="preserve">결제조건</t>
  </si>
  <si>
    <r>
      <rPr>
        <b val="true"/>
        <sz val="11"/>
        <color rgb="FFC9A227"/>
        <rFont val="DejaVu Sans"/>
        <family val="2"/>
      </rPr>
      <t xml:space="preserve">영업이익률</t>
    </r>
    <r>
      <rPr>
        <b val="true"/>
        <sz val="11"/>
        <color rgb="FFC9A227"/>
        <rFont val="맑은 고딕"/>
        <family val="0"/>
        <charset val="1"/>
      </rPr>
      <t xml:space="preserve">(%)</t>
    </r>
  </si>
  <si>
    <t xml:space="preserve">비고</t>
  </si>
  <si>
    <t xml:space="preserve">2026-01-03</t>
  </si>
  <si>
    <t xml:space="preserve">TR-2026-0001</t>
  </si>
  <si>
    <t xml:space="preserve">바이오</t>
  </si>
  <si>
    <r>
      <rPr>
        <b val="true"/>
        <sz val="10"/>
        <color rgb="FF3E2723"/>
        <rFont val="맑은 고딕"/>
        <family val="0"/>
        <charset val="1"/>
      </rPr>
      <t xml:space="preserve">CPO </t>
    </r>
    <r>
      <rPr>
        <b val="true"/>
        <sz val="10"/>
        <color rgb="FF3E2723"/>
        <rFont val="DejaVu Sans"/>
        <family val="2"/>
      </rPr>
      <t xml:space="preserve">정제</t>
    </r>
  </si>
  <si>
    <t xml:space="preserve">한국</t>
  </si>
  <si>
    <t xml:space="preserve">미국</t>
  </si>
  <si>
    <t xml:space="preserve">Vinamilk</t>
  </si>
  <si>
    <t xml:space="preserve">그룹사</t>
  </si>
  <si>
    <t xml:space="preserve">휴스턴</t>
  </si>
  <si>
    <r>
      <rPr>
        <sz val="9"/>
        <color rgb="FF424242"/>
        <rFont val="Consolas"/>
        <family val="0"/>
        <charset val="1"/>
      </rPr>
      <t xml:space="preserve">T/T 30</t>
    </r>
    <r>
      <rPr>
        <sz val="9"/>
        <color rgb="FF424242"/>
        <rFont val="DejaVu Sans"/>
        <family val="2"/>
      </rPr>
      <t xml:space="preserve">일</t>
    </r>
  </si>
  <si>
    <r>
      <rPr>
        <i val="true"/>
        <sz val="9"/>
        <color rgb="FF5D4037"/>
        <rFont val="맑은 고딕"/>
        <family val="0"/>
        <charset val="1"/>
      </rPr>
      <t xml:space="preserve">ESG </t>
    </r>
    <r>
      <rPr>
        <i val="true"/>
        <sz val="9"/>
        <color rgb="FF5D4037"/>
        <rFont val="DejaVu Sans"/>
        <family val="2"/>
      </rPr>
      <t xml:space="preserve">등급 </t>
    </r>
    <r>
      <rPr>
        <i val="true"/>
        <sz val="9"/>
        <color rgb="FF5D4037"/>
        <rFont val="맑은 고딕"/>
        <family val="0"/>
        <charset val="1"/>
      </rPr>
      <t xml:space="preserve">A</t>
    </r>
  </si>
  <si>
    <t xml:space="preserve">2026-01-04</t>
  </si>
  <si>
    <t xml:space="preserve">TR-2026-0002</t>
  </si>
  <si>
    <t xml:space="preserve">철강</t>
  </si>
  <si>
    <t xml:space="preserve">냉연</t>
  </si>
  <si>
    <t xml:space="preserve">중국</t>
  </si>
  <si>
    <t xml:space="preserve">베트남</t>
  </si>
  <si>
    <t xml:space="preserve">Hoa Phat Group</t>
  </si>
  <si>
    <r>
      <rPr>
        <sz val="9"/>
        <color rgb="FF424242"/>
        <rFont val="DejaVu Sans"/>
        <family val="2"/>
      </rPr>
      <t xml:space="preserve">제</t>
    </r>
    <r>
      <rPr>
        <sz val="9"/>
        <color rgb="FF424242"/>
        <rFont val="맑은 고딕"/>
        <family val="0"/>
        <charset val="1"/>
      </rPr>
      <t xml:space="preserve">3</t>
    </r>
    <r>
      <rPr>
        <sz val="9"/>
        <color rgb="FF424242"/>
        <rFont val="DejaVu Sans"/>
        <family val="2"/>
      </rPr>
      <t xml:space="preserve">자</t>
    </r>
  </si>
  <si>
    <t xml:space="preserve">이스탄불</t>
  </si>
  <si>
    <r>
      <rPr>
        <sz val="9"/>
        <color rgb="FF424242"/>
        <rFont val="Consolas"/>
        <family val="0"/>
        <charset val="1"/>
      </rPr>
      <t xml:space="preserve">LC 90</t>
    </r>
    <r>
      <rPr>
        <sz val="9"/>
        <color rgb="FF424242"/>
        <rFont val="DejaVu Sans"/>
        <family val="2"/>
      </rPr>
      <t xml:space="preserve">일</t>
    </r>
  </si>
  <si>
    <t xml:space="preserve">프리미엄 등급</t>
  </si>
  <si>
    <t xml:space="preserve">2026-01-06</t>
  </si>
  <si>
    <t xml:space="preserve">TR-2026-0003</t>
  </si>
  <si>
    <t xml:space="preserve">열연</t>
  </si>
  <si>
    <t xml:space="preserve">인도</t>
  </si>
  <si>
    <t xml:space="preserve">독일</t>
  </si>
  <si>
    <t xml:space="preserve">Saudi Steel</t>
  </si>
  <si>
    <t xml:space="preserve">방콕</t>
  </si>
  <si>
    <r>
      <rPr>
        <sz val="9"/>
        <color rgb="FF424242"/>
        <rFont val="Consolas"/>
        <family val="0"/>
        <charset val="1"/>
      </rPr>
      <t xml:space="preserve">T/T </t>
    </r>
    <r>
      <rPr>
        <sz val="9"/>
        <color rgb="FF424242"/>
        <rFont val="DejaVu Sans"/>
        <family val="2"/>
      </rPr>
      <t xml:space="preserve">즉시</t>
    </r>
  </si>
  <si>
    <t xml:space="preserve">재계약 갱신</t>
  </si>
  <si>
    <t xml:space="preserve">2026-01-07</t>
  </si>
  <si>
    <t xml:space="preserve">TR-2026-0004</t>
  </si>
  <si>
    <t xml:space="preserve">모빌리티</t>
  </si>
  <si>
    <t xml:space="preserve">니켈</t>
  </si>
  <si>
    <t xml:space="preserve">체코</t>
  </si>
  <si>
    <t xml:space="preserve">Skoda Auto</t>
  </si>
  <si>
    <t xml:space="preserve">선전</t>
  </si>
  <si>
    <r>
      <rPr>
        <sz val="9"/>
        <color rgb="FF424242"/>
        <rFont val="Consolas"/>
        <family val="0"/>
        <charset val="1"/>
      </rPr>
      <t xml:space="preserve">T/T 45</t>
    </r>
    <r>
      <rPr>
        <sz val="9"/>
        <color rgb="FF424242"/>
        <rFont val="DejaVu Sans"/>
        <family val="2"/>
      </rPr>
      <t xml:space="preserve">일</t>
    </r>
  </si>
  <si>
    <t xml:space="preserve">고부가 제품</t>
  </si>
  <si>
    <t xml:space="preserve">2026-01-08</t>
  </si>
  <si>
    <t xml:space="preserve">TR-2026-0005</t>
  </si>
  <si>
    <t xml:space="preserve">자동차강판</t>
  </si>
  <si>
    <t xml:space="preserve">일본</t>
  </si>
  <si>
    <t xml:space="preserve">태국</t>
  </si>
  <si>
    <t xml:space="preserve">JSW Steel</t>
  </si>
  <si>
    <t xml:space="preserve">몬테레이</t>
  </si>
  <si>
    <r>
      <rPr>
        <sz val="9"/>
        <color rgb="FF424242"/>
        <rFont val="Consolas"/>
        <family val="0"/>
        <charset val="1"/>
      </rPr>
      <t xml:space="preserve">LC 30</t>
    </r>
    <r>
      <rPr>
        <sz val="9"/>
        <color rgb="FF424242"/>
        <rFont val="DejaVu Sans"/>
        <family val="2"/>
      </rPr>
      <t xml:space="preserve">일</t>
    </r>
  </si>
  <si>
    <t xml:space="preserve">2026-01-10</t>
  </si>
  <si>
    <t xml:space="preserve">TR-2026-0006</t>
  </si>
  <si>
    <t xml:space="preserve">전기강판</t>
  </si>
  <si>
    <t xml:space="preserve">사우디</t>
  </si>
  <si>
    <t xml:space="preserve">Tesla Inc</t>
  </si>
  <si>
    <t xml:space="preserve">자카르타</t>
  </si>
  <si>
    <t xml:space="preserve">2026-01-11</t>
  </si>
  <si>
    <t xml:space="preserve">TR-2026-0007</t>
  </si>
  <si>
    <t xml:space="preserve">동박</t>
  </si>
  <si>
    <t xml:space="preserve">필리핀</t>
  </si>
  <si>
    <t xml:space="preserve">LG Energy Solution</t>
  </si>
  <si>
    <t xml:space="preserve">프랑크푸르트</t>
  </si>
  <si>
    <t xml:space="preserve">2026-01-14</t>
  </si>
  <si>
    <t xml:space="preserve">TR-2026-0008</t>
  </si>
  <si>
    <t xml:space="preserve">후판</t>
  </si>
  <si>
    <t xml:space="preserve">POSCO Vietnam</t>
  </si>
  <si>
    <t xml:space="preserve">싱가포르</t>
  </si>
  <si>
    <t xml:space="preserve">스팟 거래</t>
  </si>
  <si>
    <t xml:space="preserve">2026-01-15</t>
  </si>
  <si>
    <t xml:space="preserve">TR-2026-0009</t>
  </si>
  <si>
    <t xml:space="preserve">에너지</t>
  </si>
  <si>
    <t xml:space="preserve">석유제품</t>
  </si>
  <si>
    <t xml:space="preserve">카타르</t>
  </si>
  <si>
    <t xml:space="preserve">JFE Steel</t>
  </si>
  <si>
    <t xml:space="preserve">도쿄</t>
  </si>
  <si>
    <t xml:space="preserve">CIF</t>
  </si>
  <si>
    <t xml:space="preserve">그린 인증 제품</t>
  </si>
  <si>
    <t xml:space="preserve">2026-01-17</t>
  </si>
  <si>
    <t xml:space="preserve">TR-2026-0010</t>
  </si>
  <si>
    <t xml:space="preserve">Sinopec</t>
  </si>
  <si>
    <t xml:space="preserve">선릉 본사</t>
  </si>
  <si>
    <t xml:space="preserve">장기 파트너</t>
  </si>
  <si>
    <t xml:space="preserve">2026-01-18</t>
  </si>
  <si>
    <t xml:space="preserve">TR-2026-0011</t>
  </si>
  <si>
    <t xml:space="preserve">호주</t>
  </si>
  <si>
    <t xml:space="preserve">GS Caltex</t>
  </si>
  <si>
    <t xml:space="preserve">장기계약 분</t>
  </si>
  <si>
    <t xml:space="preserve">2026-01-24</t>
  </si>
  <si>
    <t xml:space="preserve">TR-2026-0012</t>
  </si>
  <si>
    <t xml:space="preserve">터키</t>
  </si>
  <si>
    <t xml:space="preserve">SUS Steel</t>
  </si>
  <si>
    <t xml:space="preserve">친환경 시리즈</t>
  </si>
  <si>
    <t xml:space="preserve">2026-01-25</t>
  </si>
  <si>
    <t xml:space="preserve">TR-2026-0013</t>
  </si>
  <si>
    <t xml:space="preserve">인도네시아</t>
  </si>
  <si>
    <t xml:space="preserve">PT.KRAKATAU STEEL</t>
  </si>
  <si>
    <t xml:space="preserve">2026-01-29</t>
  </si>
  <si>
    <t xml:space="preserve">TR-2026-0014</t>
  </si>
  <si>
    <t xml:space="preserve">리야드</t>
  </si>
  <si>
    <t xml:space="preserve">2026-01-31</t>
  </si>
  <si>
    <t xml:space="preserve">TR-2026-0015</t>
  </si>
  <si>
    <t xml:space="preserve">구동모터코아</t>
  </si>
  <si>
    <t xml:space="preserve">2026-02-01</t>
  </si>
  <si>
    <t xml:space="preserve">TR-2026-0016</t>
  </si>
  <si>
    <t xml:space="preserve">상하이</t>
  </si>
  <si>
    <t xml:space="preserve">2026-02-02</t>
  </si>
  <si>
    <t xml:space="preserve">TR-2026-0017</t>
  </si>
  <si>
    <t xml:space="preserve">식량</t>
  </si>
  <si>
    <t xml:space="preserve">팜오일</t>
  </si>
  <si>
    <t xml:space="preserve">아르헨티나</t>
  </si>
  <si>
    <t xml:space="preserve">농협사료</t>
  </si>
  <si>
    <t xml:space="preserve">발렌시아</t>
  </si>
  <si>
    <r>
      <rPr>
        <sz val="9"/>
        <color rgb="FF424242"/>
        <rFont val="Consolas"/>
        <family val="0"/>
        <charset val="1"/>
      </rPr>
      <t xml:space="preserve">T/T 60</t>
    </r>
    <r>
      <rPr>
        <sz val="9"/>
        <color rgb="FF424242"/>
        <rFont val="DejaVu Sans"/>
        <family val="2"/>
      </rPr>
      <t xml:space="preserve">일</t>
    </r>
  </si>
  <si>
    <t xml:space="preserve">2026-02-05</t>
  </si>
  <si>
    <t xml:space="preserve">TR-2026-0018</t>
  </si>
  <si>
    <t xml:space="preserve">LNG</t>
  </si>
  <si>
    <t xml:space="preserve">대만</t>
  </si>
  <si>
    <t xml:space="preserve">2026-02-10</t>
  </si>
  <si>
    <t xml:space="preserve">TR-2026-0019</t>
  </si>
  <si>
    <t xml:space="preserve">밀</t>
  </si>
  <si>
    <t xml:space="preserve">스페인</t>
  </si>
  <si>
    <t xml:space="preserve">GASC</t>
  </si>
  <si>
    <t xml:space="preserve">텐진</t>
  </si>
  <si>
    <t xml:space="preserve">2026-02-11</t>
  </si>
  <si>
    <t xml:space="preserve">TR-2026-0020</t>
  </si>
  <si>
    <t xml:space="preserve">콩</t>
  </si>
  <si>
    <t xml:space="preserve">브라질</t>
  </si>
  <si>
    <t xml:space="preserve">COFCO</t>
  </si>
  <si>
    <t xml:space="preserve">튀니스</t>
  </si>
  <si>
    <t xml:space="preserve">2026-02-17</t>
  </si>
  <si>
    <t xml:space="preserve">TR-2026-0021</t>
  </si>
  <si>
    <t xml:space="preserve">LPG</t>
  </si>
  <si>
    <t xml:space="preserve">인니</t>
  </si>
  <si>
    <t xml:space="preserve">2026-02-18</t>
  </si>
  <si>
    <t xml:space="preserve">TR-2026-0022</t>
  </si>
  <si>
    <t xml:space="preserve">선재</t>
  </si>
  <si>
    <r>
      <rPr>
        <sz val="9"/>
        <color rgb="FF424242"/>
        <rFont val="Consolas"/>
        <family val="0"/>
        <charset val="1"/>
      </rPr>
      <t xml:space="preserve">LC 60</t>
    </r>
    <r>
      <rPr>
        <sz val="9"/>
        <color rgb="FF424242"/>
        <rFont val="DejaVu Sans"/>
        <family val="2"/>
      </rPr>
      <t xml:space="preserve">일</t>
    </r>
  </si>
  <si>
    <t xml:space="preserve">2026-02-19</t>
  </si>
  <si>
    <t xml:space="preserve">TR-2026-0023</t>
  </si>
  <si>
    <t xml:space="preserve">STS</t>
  </si>
  <si>
    <t xml:space="preserve">2026-02-20</t>
  </si>
  <si>
    <t xml:space="preserve">TR-2026-0024</t>
  </si>
  <si>
    <t xml:space="preserve">도금강판</t>
  </si>
  <si>
    <t xml:space="preserve">말레이시아</t>
  </si>
  <si>
    <t xml:space="preserve">Ternium</t>
  </si>
  <si>
    <t xml:space="preserve">2026-02-21</t>
  </si>
  <si>
    <t xml:space="preserve">TR-2026-0025</t>
  </si>
  <si>
    <t xml:space="preserve">신규 고객</t>
  </si>
  <si>
    <t xml:space="preserve">2026-02-24</t>
  </si>
  <si>
    <t xml:space="preserve">TR-2026-0026</t>
  </si>
  <si>
    <t xml:space="preserve">두바이</t>
  </si>
  <si>
    <t xml:space="preserve">2026-02-25</t>
  </si>
  <si>
    <t xml:space="preserve">TR-2026-0027</t>
  </si>
  <si>
    <t xml:space="preserve">2026-02-26</t>
  </si>
  <si>
    <t xml:space="preserve">TR-2026-0028</t>
  </si>
  <si>
    <t xml:space="preserve">쿠알라룸푸르</t>
  </si>
  <si>
    <t xml:space="preserve">2026-03-02</t>
  </si>
  <si>
    <t xml:space="preserve">TR-2026-0029</t>
  </si>
  <si>
    <t xml:space="preserve">Tofas</t>
  </si>
  <si>
    <t xml:space="preserve">탄소저감 인증</t>
  </si>
  <si>
    <t xml:space="preserve">2026-03-03</t>
  </si>
  <si>
    <t xml:space="preserve">TR-2026-0030</t>
  </si>
  <si>
    <t xml:space="preserve">귀리</t>
  </si>
  <si>
    <t xml:space="preserve">이집트</t>
  </si>
  <si>
    <t xml:space="preserve">카이로</t>
  </si>
  <si>
    <t xml:space="preserve">2026-03-04</t>
  </si>
  <si>
    <t xml:space="preserve">TR-2026-0031</t>
  </si>
  <si>
    <t xml:space="preserve">GS EPS</t>
  </si>
  <si>
    <t xml:space="preserve">2026-03-06</t>
  </si>
  <si>
    <t xml:space="preserve">TR-2026-0032</t>
  </si>
  <si>
    <t xml:space="preserve">2026-03-07</t>
  </si>
  <si>
    <t xml:space="preserve">TR-2026-0033</t>
  </si>
  <si>
    <t xml:space="preserve">유럽</t>
  </si>
  <si>
    <t xml:space="preserve">2026-03-08</t>
  </si>
  <si>
    <t xml:space="preserve">TR-2026-0034</t>
  </si>
  <si>
    <t xml:space="preserve">Mitsubishi Steel</t>
  </si>
  <si>
    <t xml:space="preserve">2026-03-09</t>
  </si>
  <si>
    <t xml:space="preserve">TR-2026-0035</t>
  </si>
  <si>
    <t xml:space="preserve">타이베이</t>
  </si>
  <si>
    <t xml:space="preserve">2026-03-12</t>
  </si>
  <si>
    <t xml:space="preserve">TR-2026-0036</t>
  </si>
  <si>
    <t xml:space="preserve">2026-03-14</t>
  </si>
  <si>
    <t xml:space="preserve">TR-2026-0037</t>
  </si>
  <si>
    <t xml:space="preserve">Sinograin</t>
  </si>
  <si>
    <t xml:space="preserve">정기 거래</t>
  </si>
  <si>
    <t xml:space="preserve">2026-03-16</t>
  </si>
  <si>
    <t xml:space="preserve">TR-2026-0038</t>
  </si>
  <si>
    <t xml:space="preserve">쌀</t>
  </si>
  <si>
    <t xml:space="preserve">마닐라</t>
  </si>
  <si>
    <t xml:space="preserve">2026-03-18</t>
  </si>
  <si>
    <t xml:space="preserve">TR-2026-0039</t>
  </si>
  <si>
    <t xml:space="preserve">석탄</t>
  </si>
  <si>
    <t xml:space="preserve">2026-03-19</t>
  </si>
  <si>
    <t xml:space="preserve">TR-2026-0040</t>
  </si>
  <si>
    <t xml:space="preserve">리튬</t>
  </si>
  <si>
    <t xml:space="preserve">멕시코</t>
  </si>
  <si>
    <t xml:space="preserve">Ultium Cells</t>
  </si>
  <si>
    <t xml:space="preserve">2026-03-20</t>
  </si>
  <si>
    <t xml:space="preserve">TR-2026-0041</t>
  </si>
  <si>
    <t xml:space="preserve">폴란드</t>
  </si>
  <si>
    <t xml:space="preserve">SK On</t>
  </si>
  <si>
    <t xml:space="preserve">뮌헨</t>
  </si>
  <si>
    <t xml:space="preserve">2026-03-21</t>
  </si>
  <si>
    <t xml:space="preserve">TR-2026-0042</t>
  </si>
  <si>
    <t xml:space="preserve">Outokumpu</t>
  </si>
  <si>
    <t xml:space="preserve">2026-03-22</t>
  </si>
  <si>
    <t xml:space="preserve">TR-2026-0043</t>
  </si>
  <si>
    <t xml:space="preserve">UAE</t>
  </si>
  <si>
    <t xml:space="preserve">2026-03-23</t>
  </si>
  <si>
    <t xml:space="preserve">TR-2026-0044</t>
  </si>
  <si>
    <t xml:space="preserve">ODC Tunisia</t>
  </si>
  <si>
    <t xml:space="preserve">2026-03-24</t>
  </si>
  <si>
    <t xml:space="preserve">TR-2026-0045</t>
  </si>
  <si>
    <t xml:space="preserve">2026-03-26</t>
  </si>
  <si>
    <t xml:space="preserve">TR-2026-0046</t>
  </si>
  <si>
    <t xml:space="preserve">Sembcorp Marine</t>
  </si>
  <si>
    <t xml:space="preserve">2026-03-29</t>
  </si>
  <si>
    <t xml:space="preserve">TR-2026-0047</t>
  </si>
  <si>
    <t xml:space="preserve">2026-03-30</t>
  </si>
  <si>
    <t xml:space="preserve">TR-2026-0048</t>
  </si>
  <si>
    <t xml:space="preserve">Erdemir</t>
  </si>
  <si>
    <t xml:space="preserve">전략적 거래</t>
  </si>
  <si>
    <t xml:space="preserve">2026-03-31</t>
  </si>
  <si>
    <t xml:space="preserve">TR-2026-0049</t>
  </si>
  <si>
    <t xml:space="preserve">헝가리</t>
  </si>
  <si>
    <t xml:space="preserve">2026-04-01</t>
  </si>
  <si>
    <t xml:space="preserve">TR-2026-0050</t>
  </si>
  <si>
    <t xml:space="preserve">수소</t>
  </si>
  <si>
    <t xml:space="preserve">POSCO</t>
  </si>
  <si>
    <t xml:space="preserve">2026-04-02</t>
  </si>
  <si>
    <t xml:space="preserve">TR-2026-0051</t>
  </si>
  <si>
    <t xml:space="preserve">Tokyo Gas</t>
  </si>
  <si>
    <t xml:space="preserve">2026-04-04</t>
  </si>
  <si>
    <t xml:space="preserve">TR-2026-0052</t>
  </si>
  <si>
    <t xml:space="preserve">2026-04-05</t>
  </si>
  <si>
    <t xml:space="preserve">TR-2026-0053</t>
  </si>
  <si>
    <t xml:space="preserve">2026-04-06</t>
  </si>
  <si>
    <t xml:space="preserve">TR-2026-0054</t>
  </si>
  <si>
    <t xml:space="preserve">LG Chem</t>
  </si>
  <si>
    <t xml:space="preserve">2026-04-07</t>
  </si>
  <si>
    <t xml:space="preserve">TR-2026-0055</t>
  </si>
  <si>
    <t xml:space="preserve">2026-04-10</t>
  </si>
  <si>
    <t xml:space="preserve">TR-2026-0056</t>
  </si>
  <si>
    <t xml:space="preserve">2026-04-11</t>
  </si>
  <si>
    <t xml:space="preserve">TR-2026-0057</t>
  </si>
  <si>
    <t xml:space="preserve">우크라이나</t>
  </si>
  <si>
    <t xml:space="preserve">Cargill EU</t>
  </si>
  <si>
    <t xml:space="preserve">2026-04-14</t>
  </si>
  <si>
    <t xml:space="preserve">TR-2026-0058</t>
  </si>
  <si>
    <t xml:space="preserve">호치민</t>
  </si>
  <si>
    <t xml:space="preserve">2026-04-16</t>
  </si>
  <si>
    <t xml:space="preserve">TR-2026-0059</t>
  </si>
  <si>
    <t xml:space="preserve">DOW Chemical</t>
  </si>
  <si>
    <t xml:space="preserve">2026-04-17</t>
  </si>
  <si>
    <t xml:space="preserve">TR-2026-0060</t>
  </si>
  <si>
    <t xml:space="preserve">2026-04-19</t>
  </si>
  <si>
    <t xml:space="preserve">TR-2026-0061</t>
  </si>
  <si>
    <t xml:space="preserve">2026-04-20</t>
  </si>
  <si>
    <t xml:space="preserve">TR-2026-0062</t>
  </si>
  <si>
    <t xml:space="preserve">신시장 개척</t>
  </si>
  <si>
    <t xml:space="preserve">2026-04-21</t>
  </si>
  <si>
    <t xml:space="preserve">TR-2026-0063</t>
  </si>
  <si>
    <t xml:space="preserve">코발트</t>
  </si>
  <si>
    <t xml:space="preserve">2026-04-22</t>
  </si>
  <si>
    <t xml:space="preserve">TR-2026-0064</t>
  </si>
  <si>
    <t xml:space="preserve">2026-04-27</t>
  </si>
  <si>
    <t xml:space="preserve">TR-2026-0065</t>
  </si>
  <si>
    <t xml:space="preserve">재생수지</t>
  </si>
  <si>
    <t xml:space="preserve">PT.IOI Group</t>
  </si>
  <si>
    <t xml:space="preserve">2026-04-29</t>
  </si>
  <si>
    <t xml:space="preserve">TR-2026-0066</t>
  </si>
  <si>
    <t xml:space="preserve">튀니지</t>
  </si>
  <si>
    <t xml:space="preserve">2026-04-30</t>
  </si>
  <si>
    <t xml:space="preserve">TR-2026-0067</t>
  </si>
  <si>
    <t xml:space="preserve">2026-05-09</t>
  </si>
  <si>
    <t xml:space="preserve">TR-2026-0068</t>
  </si>
  <si>
    <t xml:space="preserve">Samsung SDI</t>
  </si>
  <si>
    <t xml:space="preserve">부다페스트</t>
  </si>
  <si>
    <t xml:space="preserve">2026-05-14</t>
  </si>
  <si>
    <t xml:space="preserve">TR-2026-0069</t>
  </si>
  <si>
    <t xml:space="preserve">2026-05-15</t>
  </si>
  <si>
    <t xml:space="preserve">TR-2026-0070</t>
  </si>
  <si>
    <t xml:space="preserve">Foxconn Mexico</t>
  </si>
  <si>
    <t xml:space="preserve">프라하</t>
  </si>
  <si>
    <t xml:space="preserve">2026-05-16</t>
  </si>
  <si>
    <t xml:space="preserve">TR-2026-0071</t>
  </si>
  <si>
    <t xml:space="preserve">2026-05-18</t>
  </si>
  <si>
    <t xml:space="preserve">TR-2026-0072</t>
  </si>
  <si>
    <t xml:space="preserve">2026-05-19</t>
  </si>
  <si>
    <t xml:space="preserve">TR-2026-0073</t>
  </si>
  <si>
    <t xml:space="preserve">2026-05-20</t>
  </si>
  <si>
    <t xml:space="preserve">TR-2026-0074</t>
  </si>
  <si>
    <t xml:space="preserve">2026-05-21</t>
  </si>
  <si>
    <t xml:space="preserve">TR-2026-0075</t>
  </si>
  <si>
    <t xml:space="preserve">서울</t>
  </si>
  <si>
    <t xml:space="preserve">2026-05-22</t>
  </si>
  <si>
    <t xml:space="preserve">TR-2026-0076</t>
  </si>
  <si>
    <t xml:space="preserve">오만</t>
  </si>
  <si>
    <t xml:space="preserve">2026-05-24</t>
  </si>
  <si>
    <t xml:space="preserve">TR-2026-0077</t>
  </si>
  <si>
    <t xml:space="preserve">2026-05-28</t>
  </si>
  <si>
    <t xml:space="preserve">TR-2026-0078</t>
  </si>
  <si>
    <t xml:space="preserve">2026-05-29</t>
  </si>
  <si>
    <t xml:space="preserve">TR-2026-0079</t>
  </si>
  <si>
    <t xml:space="preserve">오하이오</t>
  </si>
  <si>
    <t xml:space="preserve">2026-05-30</t>
  </si>
  <si>
    <t xml:space="preserve">TR-2026-0080</t>
  </si>
  <si>
    <t xml:space="preserve">Idemitsu</t>
  </si>
  <si>
    <t xml:space="preserve">2026-05-31</t>
  </si>
  <si>
    <t xml:space="preserve">TR-2026-0081</t>
  </si>
  <si>
    <t xml:space="preserve">2026-06-02</t>
  </si>
  <si>
    <t xml:space="preserve">TR-2026-0082</t>
  </si>
  <si>
    <t xml:space="preserve">2026-06-05</t>
  </si>
  <si>
    <t xml:space="preserve">TR-2026-0083</t>
  </si>
  <si>
    <t xml:space="preserve">2026-06-06</t>
  </si>
  <si>
    <t xml:space="preserve">TR-2026-0084</t>
  </si>
  <si>
    <t xml:space="preserve">2026-06-07</t>
  </si>
  <si>
    <t xml:space="preserve">TR-2026-0085</t>
  </si>
  <si>
    <t xml:space="preserve">한국가스공사</t>
  </si>
  <si>
    <t xml:space="preserve">2026-06-08</t>
  </si>
  <si>
    <t xml:space="preserve">TR-2026-0086</t>
  </si>
  <si>
    <t xml:space="preserve">2026-06-10</t>
  </si>
  <si>
    <t xml:space="preserve">TR-2026-0087</t>
  </si>
  <si>
    <t xml:space="preserve">2026-06-11</t>
  </si>
  <si>
    <t xml:space="preserve">TR-2026-0088</t>
  </si>
  <si>
    <t xml:space="preserve">2026-06-15</t>
  </si>
  <si>
    <t xml:space="preserve">TR-2026-0089</t>
  </si>
  <si>
    <t xml:space="preserve">2026-06-16</t>
  </si>
  <si>
    <t xml:space="preserve">TR-2026-0090</t>
  </si>
  <si>
    <t xml:space="preserve">2026-06-17</t>
  </si>
  <si>
    <t xml:space="preserve">TR-2026-0091</t>
  </si>
  <si>
    <t xml:space="preserve">2026-06-19</t>
  </si>
  <si>
    <t xml:space="preserve">TR-2026-0092</t>
  </si>
  <si>
    <t xml:space="preserve">SK E&amp;S</t>
  </si>
  <si>
    <t xml:space="preserve">2026-06-22</t>
  </si>
  <si>
    <t xml:space="preserve">TR-2026-0093</t>
  </si>
  <si>
    <t xml:space="preserve">2026-06-23</t>
  </si>
  <si>
    <t xml:space="preserve">TR-2026-0094</t>
  </si>
  <si>
    <t xml:space="preserve">2026-06-24</t>
  </si>
  <si>
    <t xml:space="preserve">TR-2026-0095</t>
  </si>
  <si>
    <t xml:space="preserve">2026-06-25</t>
  </si>
  <si>
    <t xml:space="preserve">TR-2026-0096</t>
  </si>
  <si>
    <t xml:space="preserve">2026-06-26</t>
  </si>
  <si>
    <t xml:space="preserve">TR-2026-0097</t>
  </si>
  <si>
    <t xml:space="preserve">2026-06-27</t>
  </si>
  <si>
    <t xml:space="preserve">TR-2026-0098</t>
  </si>
  <si>
    <t xml:space="preserve">2026-06-30</t>
  </si>
  <si>
    <t xml:space="preserve">TR-2026-0099</t>
  </si>
  <si>
    <t xml:space="preserve">2026-07-02</t>
  </si>
  <si>
    <t xml:space="preserve">TR-2026-0100</t>
  </si>
  <si>
    <t xml:space="preserve">2026-07-03</t>
  </si>
  <si>
    <t xml:space="preserve">TR-2026-0101</t>
  </si>
  <si>
    <t xml:space="preserve">2026-07-06</t>
  </si>
  <si>
    <t xml:space="preserve">TR-2026-0102</t>
  </si>
  <si>
    <t xml:space="preserve">2026-07-08</t>
  </si>
  <si>
    <t xml:space="preserve">TR-2026-0103</t>
  </si>
  <si>
    <t xml:space="preserve">CATL</t>
  </si>
  <si>
    <t xml:space="preserve">2026-07-13</t>
  </si>
  <si>
    <t xml:space="preserve">TR-2026-0104</t>
  </si>
  <si>
    <t xml:space="preserve">2026-07-16</t>
  </si>
  <si>
    <t xml:space="preserve">TR-2026-0105</t>
  </si>
  <si>
    <t xml:space="preserve">2026-07-18</t>
  </si>
  <si>
    <t xml:space="preserve">TR-2026-0106</t>
  </si>
  <si>
    <t xml:space="preserve">롯데웰푸드</t>
  </si>
  <si>
    <t xml:space="preserve">2026-07-19</t>
  </si>
  <si>
    <t xml:space="preserve">TR-2026-0107</t>
  </si>
  <si>
    <t xml:space="preserve">2026-07-23</t>
  </si>
  <si>
    <t xml:space="preserve">TR-2026-0108</t>
  </si>
  <si>
    <t xml:space="preserve">2026-07-24</t>
  </si>
  <si>
    <t xml:space="preserve">TR-2026-0109</t>
  </si>
  <si>
    <t xml:space="preserve">2026-07-25</t>
  </si>
  <si>
    <t xml:space="preserve">TR-2026-0110</t>
  </si>
  <si>
    <t xml:space="preserve">2026-07-28</t>
  </si>
  <si>
    <t xml:space="preserve">TR-2026-0111</t>
  </si>
  <si>
    <t xml:space="preserve">2026-08-01</t>
  </si>
  <si>
    <t xml:space="preserve">TR-2026-0112</t>
  </si>
  <si>
    <t xml:space="preserve">2026-08-05</t>
  </si>
  <si>
    <t xml:space="preserve">TR-2026-0113</t>
  </si>
  <si>
    <t xml:space="preserve">2026-08-06</t>
  </si>
  <si>
    <t xml:space="preserve">TR-2026-0114</t>
  </si>
  <si>
    <t xml:space="preserve">뭄바이</t>
  </si>
  <si>
    <t xml:space="preserve">2026-08-08</t>
  </si>
  <si>
    <t xml:space="preserve">TR-2026-0115</t>
  </si>
  <si>
    <t xml:space="preserve">2026-08-10</t>
  </si>
  <si>
    <t xml:space="preserve">TR-2026-0116</t>
  </si>
  <si>
    <t xml:space="preserve">2026-08-11</t>
  </si>
  <si>
    <t xml:space="preserve">TR-2026-0117</t>
  </si>
  <si>
    <t xml:space="preserve">2026-08-12</t>
  </si>
  <si>
    <t xml:space="preserve">TR-2026-0118</t>
  </si>
  <si>
    <t xml:space="preserve">2026-08-13</t>
  </si>
  <si>
    <t xml:space="preserve">TR-2026-0119</t>
  </si>
  <si>
    <t xml:space="preserve">2026-08-15</t>
  </si>
  <si>
    <t xml:space="preserve">TR-2026-0120</t>
  </si>
  <si>
    <t xml:space="preserve">2026-08-16</t>
  </si>
  <si>
    <t xml:space="preserve">TR-2026-0121</t>
  </si>
  <si>
    <t xml:space="preserve">2026-08-18</t>
  </si>
  <si>
    <t xml:space="preserve">TR-2026-0122</t>
  </si>
  <si>
    <t xml:space="preserve">2026-08-19</t>
  </si>
  <si>
    <t xml:space="preserve">TR-2026-0123</t>
  </si>
  <si>
    <t xml:space="preserve">2026-08-20</t>
  </si>
  <si>
    <t xml:space="preserve">TR-2026-0124</t>
  </si>
  <si>
    <t xml:space="preserve">2026-08-21</t>
  </si>
  <si>
    <t xml:space="preserve">TR-2026-0125</t>
  </si>
  <si>
    <t xml:space="preserve">2026-08-22</t>
  </si>
  <si>
    <t xml:space="preserve">TR-2026-0126</t>
  </si>
  <si>
    <t xml:space="preserve">2026-08-23</t>
  </si>
  <si>
    <t xml:space="preserve">TR-2026-0127</t>
  </si>
  <si>
    <t xml:space="preserve">2026-08-25</t>
  </si>
  <si>
    <t xml:space="preserve">TR-2026-0128</t>
  </si>
  <si>
    <t xml:space="preserve">2026-08-26</t>
  </si>
  <si>
    <t xml:space="preserve">TR-2026-0129</t>
  </si>
  <si>
    <t xml:space="preserve">팜박</t>
  </si>
  <si>
    <t xml:space="preserve">BASF SE</t>
  </si>
  <si>
    <t xml:space="preserve">2026-08-27</t>
  </si>
  <si>
    <t xml:space="preserve">TR-2026-0130</t>
  </si>
  <si>
    <t xml:space="preserve">2026-08-28</t>
  </si>
  <si>
    <t xml:space="preserve">TR-2026-0131</t>
  </si>
  <si>
    <t xml:space="preserve">2026-08-29</t>
  </si>
  <si>
    <t xml:space="preserve">TR-2026-0132</t>
  </si>
  <si>
    <r>
      <rPr>
        <b val="true"/>
        <sz val="10"/>
        <color rgb="FF3E2723"/>
        <rFont val="맑은 고딕"/>
        <family val="0"/>
        <charset val="1"/>
      </rPr>
      <t xml:space="preserve">SAF</t>
    </r>
    <r>
      <rPr>
        <b val="true"/>
        <sz val="10"/>
        <color rgb="FF3E2723"/>
        <rFont val="DejaVu Sans"/>
        <family val="2"/>
      </rPr>
      <t xml:space="preserve">원료</t>
    </r>
  </si>
  <si>
    <t xml:space="preserve">2026-08-30</t>
  </si>
  <si>
    <t xml:space="preserve">TR-2026-0133</t>
  </si>
  <si>
    <t xml:space="preserve">2026-09-01</t>
  </si>
  <si>
    <t xml:space="preserve">TR-2026-0134</t>
  </si>
  <si>
    <t xml:space="preserve">2026-09-04</t>
  </si>
  <si>
    <t xml:space="preserve">TR-2026-0135</t>
  </si>
  <si>
    <t xml:space="preserve">2026-09-05</t>
  </si>
  <si>
    <t xml:space="preserve">TR-2026-0136</t>
  </si>
  <si>
    <t xml:space="preserve">2026-09-06</t>
  </si>
  <si>
    <t xml:space="preserve">TR-2026-0137</t>
  </si>
  <si>
    <t xml:space="preserve">2026-09-08</t>
  </si>
  <si>
    <t xml:space="preserve">TR-2026-0138</t>
  </si>
  <si>
    <t xml:space="preserve">2026-09-10</t>
  </si>
  <si>
    <t xml:space="preserve">TR-2026-0139</t>
  </si>
  <si>
    <t xml:space="preserve">2026-09-12</t>
  </si>
  <si>
    <t xml:space="preserve">TR-2026-0140</t>
  </si>
  <si>
    <t xml:space="preserve">2026-09-14</t>
  </si>
  <si>
    <t xml:space="preserve">TR-2026-0141</t>
  </si>
  <si>
    <t xml:space="preserve">2026-09-15</t>
  </si>
  <si>
    <t xml:space="preserve">TR-2026-0142</t>
  </si>
  <si>
    <t xml:space="preserve">바르샤바</t>
  </si>
  <si>
    <t xml:space="preserve">2026-09-17</t>
  </si>
  <si>
    <t xml:space="preserve">TR-2026-0143</t>
  </si>
  <si>
    <t xml:space="preserve">2026-09-18</t>
  </si>
  <si>
    <t xml:space="preserve">TR-2026-0144</t>
  </si>
  <si>
    <t xml:space="preserve">2026-09-19</t>
  </si>
  <si>
    <t xml:space="preserve">TR-2026-0145</t>
  </si>
  <si>
    <t xml:space="preserve">2026-09-21</t>
  </si>
  <si>
    <t xml:space="preserve">TR-2026-0146</t>
  </si>
  <si>
    <t xml:space="preserve">2026-09-22</t>
  </si>
  <si>
    <t xml:space="preserve">TR-2026-0147</t>
  </si>
  <si>
    <t xml:space="preserve">2026-09-23</t>
  </si>
  <si>
    <t xml:space="preserve">TR-2026-0148</t>
  </si>
  <si>
    <t xml:space="preserve">2026-09-24</t>
  </si>
  <si>
    <t xml:space="preserve">TR-2026-0149</t>
  </si>
  <si>
    <t xml:space="preserve">2026-09-26</t>
  </si>
  <si>
    <t xml:space="preserve">TR-2026-0150</t>
  </si>
  <si>
    <t xml:space="preserve">2026-09-27</t>
  </si>
  <si>
    <t xml:space="preserve">TR-2026-0151</t>
  </si>
  <si>
    <t xml:space="preserve">2026-09-29</t>
  </si>
  <si>
    <t xml:space="preserve">TR-2026-0152</t>
  </si>
  <si>
    <t xml:space="preserve">2026-09-30</t>
  </si>
  <si>
    <t xml:space="preserve">TR-2026-0153</t>
  </si>
  <si>
    <t xml:space="preserve">2026-10-02</t>
  </si>
  <si>
    <t xml:space="preserve">TR-2026-0154</t>
  </si>
  <si>
    <t xml:space="preserve">2026-10-03</t>
  </si>
  <si>
    <t xml:space="preserve">TR-2026-0155</t>
  </si>
  <si>
    <t xml:space="preserve">2026-10-06</t>
  </si>
  <si>
    <t xml:space="preserve">TR-2026-0156</t>
  </si>
  <si>
    <t xml:space="preserve">2026-10-07</t>
  </si>
  <si>
    <t xml:space="preserve">TR-2026-0157</t>
  </si>
  <si>
    <t xml:space="preserve">2026-10-08</t>
  </si>
  <si>
    <t xml:space="preserve">TR-2026-0158</t>
  </si>
  <si>
    <t xml:space="preserve">2026-10-09</t>
  </si>
  <si>
    <t xml:space="preserve">TR-2026-0159</t>
  </si>
  <si>
    <t xml:space="preserve">2026-10-18</t>
  </si>
  <si>
    <t xml:space="preserve">TR-2026-0160</t>
  </si>
  <si>
    <t xml:space="preserve">2026-10-19</t>
  </si>
  <si>
    <t xml:space="preserve">TR-2026-0161</t>
  </si>
  <si>
    <t xml:space="preserve">2026-10-20</t>
  </si>
  <si>
    <t xml:space="preserve">TR-2026-0162</t>
  </si>
  <si>
    <t xml:space="preserve">2026-10-27</t>
  </si>
  <si>
    <t xml:space="preserve">TR-2026-0163</t>
  </si>
  <si>
    <t xml:space="preserve">2026-10-29</t>
  </si>
  <si>
    <t xml:space="preserve">TR-2026-0164</t>
  </si>
  <si>
    <t xml:space="preserve">2026-10-30</t>
  </si>
  <si>
    <t xml:space="preserve">TR-2026-0165</t>
  </si>
  <si>
    <t xml:space="preserve">2026-10-31</t>
  </si>
  <si>
    <t xml:space="preserve">TR-2026-0166</t>
  </si>
  <si>
    <t xml:space="preserve">2026-11-01</t>
  </si>
  <si>
    <t xml:space="preserve">TR-2026-0167</t>
  </si>
  <si>
    <t xml:space="preserve">2026-11-02</t>
  </si>
  <si>
    <t xml:space="preserve">TR-2026-0168</t>
  </si>
  <si>
    <t xml:space="preserve">2026-11-03</t>
  </si>
  <si>
    <t xml:space="preserve">TR-2026-0169</t>
  </si>
  <si>
    <t xml:space="preserve">2026-11-05</t>
  </si>
  <si>
    <t xml:space="preserve">TR-2026-0170</t>
  </si>
  <si>
    <t xml:space="preserve">2026-11-06</t>
  </si>
  <si>
    <t xml:space="preserve">TR-2026-0171</t>
  </si>
  <si>
    <t xml:space="preserve">2026-11-07</t>
  </si>
  <si>
    <t xml:space="preserve">TR-2026-0172</t>
  </si>
  <si>
    <t xml:space="preserve">2026-11-11</t>
  </si>
  <si>
    <t xml:space="preserve">TR-2026-0173</t>
  </si>
  <si>
    <t xml:space="preserve">2026-11-13</t>
  </si>
  <si>
    <t xml:space="preserve">TR-2026-0174</t>
  </si>
  <si>
    <t xml:space="preserve">2026-11-15</t>
  </si>
  <si>
    <t xml:space="preserve">TR-2026-0175</t>
  </si>
  <si>
    <t xml:space="preserve">2026-11-16</t>
  </si>
  <si>
    <t xml:space="preserve">TR-2026-0176</t>
  </si>
  <si>
    <t xml:space="preserve">2026-11-19</t>
  </si>
  <si>
    <t xml:space="preserve">TR-2026-0177</t>
  </si>
  <si>
    <t xml:space="preserve">2026-11-20</t>
  </si>
  <si>
    <t xml:space="preserve">TR-2026-0178</t>
  </si>
  <si>
    <t xml:space="preserve">2026-11-22</t>
  </si>
  <si>
    <t xml:space="preserve">TR-2026-0179</t>
  </si>
  <si>
    <t xml:space="preserve">2026-11-24</t>
  </si>
  <si>
    <t xml:space="preserve">TR-2026-0180</t>
  </si>
  <si>
    <t xml:space="preserve">2026-11-25</t>
  </si>
  <si>
    <t xml:space="preserve">TR-2026-0181</t>
  </si>
  <si>
    <t xml:space="preserve">2026-11-27</t>
  </si>
  <si>
    <t xml:space="preserve">TR-2026-0182</t>
  </si>
  <si>
    <t xml:space="preserve">2026-11-28</t>
  </si>
  <si>
    <t xml:space="preserve">TR-2026-0183</t>
  </si>
  <si>
    <t xml:space="preserve">2026-11-29</t>
  </si>
  <si>
    <t xml:space="preserve">TR-2026-0184</t>
  </si>
  <si>
    <t xml:space="preserve">2026-11-30</t>
  </si>
  <si>
    <t xml:space="preserve">TR-2026-0185</t>
  </si>
  <si>
    <t xml:space="preserve">2026-12-03</t>
  </si>
  <si>
    <t xml:space="preserve">TR-2026-0186</t>
  </si>
  <si>
    <t xml:space="preserve">2026-12-06</t>
  </si>
  <si>
    <t xml:space="preserve">TR-2026-0187</t>
  </si>
  <si>
    <t xml:space="preserve">2026-12-07</t>
  </si>
  <si>
    <t xml:space="preserve">TR-2026-0188</t>
  </si>
  <si>
    <t xml:space="preserve">2026-12-11</t>
  </si>
  <si>
    <t xml:space="preserve">TR-2026-0189</t>
  </si>
  <si>
    <t xml:space="preserve">2026-12-13</t>
  </si>
  <si>
    <t xml:space="preserve">TR-2026-0190</t>
  </si>
  <si>
    <t xml:space="preserve">2026-12-15</t>
  </si>
  <si>
    <t xml:space="preserve">TR-2026-0191</t>
  </si>
  <si>
    <t xml:space="preserve">2026-12-16</t>
  </si>
  <si>
    <t xml:space="preserve">TR-2026-0192</t>
  </si>
  <si>
    <t xml:space="preserve">2026-12-19</t>
  </si>
  <si>
    <t xml:space="preserve">TR-2026-0193</t>
  </si>
  <si>
    <t xml:space="preserve">2026-12-22</t>
  </si>
  <si>
    <t xml:space="preserve">TR-2026-0194</t>
  </si>
  <si>
    <t xml:space="preserve">2026-12-23</t>
  </si>
  <si>
    <t xml:space="preserve">TR-2026-0195</t>
  </si>
  <si>
    <t xml:space="preserve">2026-12-25</t>
  </si>
  <si>
    <t xml:space="preserve">TR-2026-0196</t>
  </si>
  <si>
    <t xml:space="preserve">2026-12-27</t>
  </si>
  <si>
    <t xml:space="preserve">TR-2026-0197</t>
  </si>
  <si>
    <t xml:space="preserve">2026-12-28</t>
  </si>
  <si>
    <t xml:space="preserve">TR-2026-0198</t>
  </si>
  <si>
    <t xml:space="preserve">2026-12-29</t>
  </si>
  <si>
    <t xml:space="preserve">TR-2026-0199</t>
  </si>
  <si>
    <t xml:space="preserve">2026-12-30</t>
  </si>
  <si>
    <t xml:space="preserve">TR-2026-0200</t>
  </si>
  <si>
    <t xml:space="preserve">💎 ANNUAL TOTAL</t>
  </si>
  <si>
    <t xml:space="preserve">GLOBAL CONSOLIDATED</t>
  </si>
  <si>
    <t xml:space="preserve">🌟 PREMIUM TIER</t>
  </si>
  <si>
    <r>
      <rPr>
        <b val="true"/>
        <sz val="18"/>
        <color rgb="FFC9A227"/>
        <rFont val="DejaVu Sans"/>
        <family val="2"/>
      </rPr>
      <t xml:space="preserve">💎 사업부문별 거래 분석 </t>
    </r>
    <r>
      <rPr>
        <b val="true"/>
        <sz val="18"/>
        <color rgb="FFC9A227"/>
        <rFont val="Times New Roman"/>
        <family val="0"/>
        <charset val="1"/>
      </rPr>
      <t xml:space="preserve">(2026)</t>
    </r>
  </si>
  <si>
    <t xml:space="preserve">거래 건수</t>
  </si>
  <si>
    <r>
      <rPr>
        <b val="true"/>
        <sz val="11"/>
        <color rgb="FFC9A227"/>
        <rFont val="DejaVu Sans"/>
        <family val="2"/>
      </rPr>
      <t xml:space="preserve">총 거래량</t>
    </r>
    <r>
      <rPr>
        <b val="true"/>
        <sz val="11"/>
        <color rgb="FFC9A227"/>
        <rFont val="맑은 고딕"/>
        <family val="0"/>
        <charset val="1"/>
      </rPr>
      <t xml:space="preserve">(</t>
    </r>
    <r>
      <rPr>
        <b val="true"/>
        <sz val="11"/>
        <color rgb="FFC9A227"/>
        <rFont val="DejaVu Sans"/>
        <family val="2"/>
      </rPr>
      <t xml:space="preserve">톤</t>
    </r>
    <r>
      <rPr>
        <b val="true"/>
        <sz val="11"/>
        <color rgb="FFC9A227"/>
        <rFont val="맑은 고딕"/>
        <family val="0"/>
        <charset val="1"/>
      </rPr>
      <t xml:space="preserve">)</t>
    </r>
  </si>
  <si>
    <r>
      <rPr>
        <b val="true"/>
        <sz val="11"/>
        <color rgb="FFC9A227"/>
        <rFont val="DejaVu Sans"/>
        <family val="2"/>
      </rPr>
      <t xml:space="preserve">총 거래액</t>
    </r>
    <r>
      <rPr>
        <b val="true"/>
        <sz val="11"/>
        <color rgb="FFC9A227"/>
        <rFont val="맑은 고딕"/>
        <family val="0"/>
        <charset val="1"/>
      </rPr>
      <t xml:space="preserve">(USD)</t>
    </r>
  </si>
  <si>
    <r>
      <rPr>
        <b val="true"/>
        <sz val="11"/>
        <color rgb="FFC9A227"/>
        <rFont val="DejaVu Sans"/>
        <family val="2"/>
      </rPr>
      <t xml:space="preserve">평균 단가</t>
    </r>
    <r>
      <rPr>
        <b val="true"/>
        <sz val="11"/>
        <color rgb="FFC9A227"/>
        <rFont val="맑은 고딕"/>
        <family val="0"/>
        <charset val="1"/>
      </rPr>
      <t xml:space="preserve">(USD)</t>
    </r>
  </si>
  <si>
    <r>
      <rPr>
        <b val="true"/>
        <sz val="11"/>
        <color rgb="FFC9A227"/>
        <rFont val="DejaVu Sans"/>
        <family val="2"/>
      </rPr>
      <t xml:space="preserve">평균 이익률</t>
    </r>
    <r>
      <rPr>
        <b val="true"/>
        <sz val="11"/>
        <color rgb="FFC9A227"/>
        <rFont val="맑은 고딕"/>
        <family val="0"/>
        <charset val="1"/>
      </rPr>
      <t xml:space="preserve">(%)</t>
    </r>
  </si>
  <si>
    <t xml:space="preserve">💎 GRAND TOTAL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</si>
</sst>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\$#,##0.0;&quot;($&quot;#,##0.0\);\-"/>
    <numFmt numFmtId="167" formatCode="\$#,##0;&quot;($&quot;#,##0\);\-"/>
    <numFmt numFmtId="168" formatCode="0.0\%"/>
    <numFmt numFmtId="169" formatCode="#,##0"/>
    <numFmt numFmtId="170" formatCode="\$#,##0.00"/>
    <numFmt numFmtId="171" formatCode="\$#,##0"/>
    <numFmt numFmtId="172" formatCode="0.00\%"/>
    <numFmt numFmtId="173" formatCode="#,##0\건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C9A227"/>
      <name val="Times New Roman"/>
      <family val="0"/>
      <charset val="1"/>
    </font>
    <font>
      <i val="true"/>
      <sz val="11"/>
      <color rgb="FFF4E5B2"/>
      <name val="Times New Roman"/>
      <family val="0"/>
      <charset val="1"/>
    </font>
    <font>
      <b val="true"/>
      <sz val="11"/>
      <color rgb="FFC9A227"/>
      <name val="DejaVu Sans"/>
      <family val="2"/>
    </font>
    <font>
      <b val="true"/>
      <sz val="11"/>
      <color rgb="FFC9A227"/>
      <name val="맑은 고딕"/>
      <family val="0"/>
      <charset val="1"/>
    </font>
    <font>
      <b val="true"/>
      <sz val="10"/>
      <color rgb="FFF4E5B2"/>
      <name val="Consolas"/>
      <family val="0"/>
      <charset val="1"/>
    </font>
    <font>
      <b val="true"/>
      <sz val="10"/>
      <color rgb="FFC9A227"/>
      <name val="Consolas"/>
      <family val="0"/>
      <charset val="1"/>
    </font>
    <font>
      <b val="true"/>
      <sz val="10"/>
      <color rgb="FF33691E"/>
      <name val="DejaVu Sans"/>
      <family val="2"/>
    </font>
    <font>
      <b val="true"/>
      <sz val="10"/>
      <color rgb="FF3E2723"/>
      <name val="맑은 고딕"/>
      <family val="0"/>
      <charset val="1"/>
    </font>
    <font>
      <b val="true"/>
      <sz val="10"/>
      <color rgb="FF3E2723"/>
      <name val="DejaVu Sans"/>
      <family val="2"/>
    </font>
    <font>
      <sz val="9"/>
      <color rgb="FF546E7A"/>
      <name val="DejaVu Sans"/>
      <family val="2"/>
    </font>
    <font>
      <sz val="9"/>
      <color rgb="FF263238"/>
      <name val="DejaVu Sans"/>
      <family val="2"/>
    </font>
    <font>
      <i val="true"/>
      <sz val="9"/>
      <color rgb="FF1A237E"/>
      <name val="맑은 고딕"/>
      <family val="0"/>
      <charset val="1"/>
    </font>
    <font>
      <sz val="10"/>
      <name val="맑은 고딕"/>
      <family val="0"/>
      <charset val="1"/>
    </font>
    <font>
      <b val="true"/>
      <sz val="10"/>
      <color rgb="FF1A1A1A"/>
      <name val="맑은 고딕"/>
      <family val="0"/>
      <charset val="1"/>
    </font>
    <font>
      <b val="true"/>
      <sz val="9"/>
      <color rgb="FF1A1A1A"/>
      <name val="DejaVu Sans"/>
      <family val="2"/>
    </font>
    <font>
      <sz val="9"/>
      <color rgb="FF424242"/>
      <name val="Consolas"/>
      <family val="0"/>
      <charset val="1"/>
    </font>
    <font>
      <sz val="9"/>
      <color rgb="FF424242"/>
      <name val="DejaVu Sans"/>
      <family val="2"/>
    </font>
    <font>
      <b val="true"/>
      <sz val="10"/>
      <color rgb="FF1B5E20"/>
      <name val="맑은 고딕"/>
      <family val="0"/>
      <charset val="1"/>
    </font>
    <font>
      <i val="true"/>
      <sz val="9"/>
      <color rgb="FF5D4037"/>
      <name val="맑은 고딕"/>
      <family val="0"/>
      <charset val="1"/>
    </font>
    <font>
      <i val="true"/>
      <sz val="9"/>
      <color rgb="FF5D4037"/>
      <name val="DejaVu Sans"/>
      <family val="2"/>
    </font>
    <font>
      <b val="true"/>
      <sz val="10"/>
      <color rgb="FF263238"/>
      <name val="DejaVu Sans"/>
      <family val="2"/>
    </font>
    <font>
      <sz val="9"/>
      <color rgb="FF424242"/>
      <name val="맑은 고딕"/>
      <family val="0"/>
      <charset val="1"/>
    </font>
    <font>
      <b val="true"/>
      <sz val="10"/>
      <color rgb="FF4A148C"/>
      <name val="DejaVu Sans"/>
      <family val="2"/>
    </font>
    <font>
      <b val="true"/>
      <sz val="10"/>
      <color rgb="FF1A237E"/>
      <name val="DejaVu Sans"/>
      <family val="2"/>
    </font>
    <font>
      <b val="true"/>
      <sz val="10"/>
      <color rgb="FF1B5E20"/>
      <name val="DejaVu Sans"/>
      <family val="2"/>
    </font>
    <font>
      <i val="true"/>
      <sz val="9"/>
      <color rgb="FF1A237E"/>
      <name val="DejaVu Sans"/>
      <family val="2"/>
    </font>
    <font>
      <sz val="9"/>
      <color rgb="FF263238"/>
      <name val="맑은 고딕"/>
      <family val="0"/>
      <charset val="1"/>
    </font>
    <font>
      <b val="true"/>
      <sz val="12"/>
      <color rgb="FFC9A227"/>
      <name val="Times New Roman"/>
      <family val="0"/>
      <charset val="1"/>
    </font>
    <font>
      <b val="true"/>
      <sz val="18"/>
      <color rgb="FFC9A227"/>
      <name val="DejaVu Sans"/>
      <family val="2"/>
    </font>
    <font>
      <b val="true"/>
      <sz val="18"/>
      <color rgb="FFC9A227"/>
      <name val="Times New Roman"/>
      <family val="0"/>
      <charset val="1"/>
    </font>
    <font>
      <b val="true"/>
      <sz val="10"/>
      <name val="DejaVu Sans"/>
      <family val="2"/>
    </font>
  </fonts>
  <fills count="15">
    <fill>
      <patternFill patternType="none"/>
    </fill>
    <fill>
      <patternFill patternType="gray125"/>
    </fill>
    <fill>
      <patternFill patternType="solid">
        <fgColor rgb="FF0D0D0D"/>
        <bgColor rgb="FF000000"/>
      </patternFill>
    </fill>
    <fill>
      <patternFill patternType="solid">
        <fgColor rgb="FF1A1A1A"/>
        <bgColor rgb="FF0D0D0D"/>
      </patternFill>
    </fill>
    <fill>
      <patternFill patternType="solid">
        <fgColor rgb="FF2C2C2C"/>
        <bgColor rgb="FF263238"/>
      </patternFill>
    </fill>
    <fill>
      <patternFill patternType="solid">
        <fgColor rgb="FFDCEDC8"/>
        <bgColor rgb="FFC8E6C9"/>
      </patternFill>
    </fill>
    <fill>
      <patternFill patternType="solid">
        <fgColor rgb="FFFAF6E8"/>
        <bgColor rgb="FFFFF8E1"/>
      </patternFill>
    </fill>
    <fill>
      <patternFill patternType="solid">
        <fgColor rgb="FFF4E5B2"/>
        <bgColor rgb="FFDCEDC8"/>
      </patternFill>
    </fill>
    <fill>
      <patternFill patternType="solid">
        <fgColor rgb="FFC9A227"/>
        <bgColor rgb="FFB8860B"/>
      </patternFill>
    </fill>
    <fill>
      <patternFill patternType="solid">
        <fgColor rgb="FFFFF8E1"/>
        <bgColor rgb="FFFAF6E8"/>
      </patternFill>
    </fill>
    <fill>
      <patternFill patternType="solid">
        <fgColor rgb="FFCFD8DC"/>
        <bgColor rgb="FFC5CAE9"/>
      </patternFill>
    </fill>
    <fill>
      <patternFill patternType="solid">
        <fgColor rgb="FFFFFFFF"/>
        <bgColor rgb="FFFAF6E8"/>
      </patternFill>
    </fill>
    <fill>
      <patternFill patternType="solid">
        <fgColor rgb="FFE1BEE7"/>
        <bgColor rgb="FFC5CAE9"/>
      </patternFill>
    </fill>
    <fill>
      <patternFill patternType="solid">
        <fgColor rgb="FFC5CAE9"/>
        <bgColor rgb="FFCFD8DC"/>
      </patternFill>
    </fill>
    <fill>
      <patternFill patternType="solid">
        <fgColor rgb="FFC8E6C9"/>
        <bgColor rgb="FFDCEDC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C9A227"/>
      </left>
      <right style="medium">
        <color rgb="FFC9A227"/>
      </right>
      <top style="medium">
        <color rgb="FFC9A227"/>
      </top>
      <bottom style="medium">
        <color rgb="FFC9A227"/>
      </bottom>
      <diagonal/>
    </border>
    <border diagonalUp="false" diagonalDown="false">
      <left style="thin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11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D0D0D"/>
      <rgbColor rgb="FFB8860B"/>
      <rgbColor rgb="FF800080"/>
      <rgbColor rgb="FF008080"/>
      <rgbColor rgb="FFCFD8DC"/>
      <rgbColor rgb="FF808080"/>
      <rgbColor rgb="FF9999FF"/>
      <rgbColor rgb="FF5D4037"/>
      <rgbColor rgb="FFFFF8E1"/>
      <rgbColor rgb="FFC8E6C9"/>
      <rgbColor rgb="FF4A148C"/>
      <rgbColor rgb="FFFF8080"/>
      <rgbColor rgb="FF0066CC"/>
      <rgbColor rgb="FFC5CAE9"/>
      <rgbColor rgb="FF263238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DC8"/>
      <rgbColor rgb="FFFAF6E8"/>
      <rgbColor rgb="FF99CCFF"/>
      <rgbColor rgb="FFFF99CC"/>
      <rgbColor rgb="FFE1BEE7"/>
      <rgbColor rgb="FFF4E5B2"/>
      <rgbColor rgb="FF3366FF"/>
      <rgbColor rgb="FF33CCCC"/>
      <rgbColor rgb="FF99CC00"/>
      <rgbColor rgb="FFFFCC00"/>
      <rgbColor rgb="FFC9A227"/>
      <rgbColor rgb="FFFF6600"/>
      <rgbColor rgb="FF546E7A"/>
      <rgbColor rgb="FF969696"/>
      <rgbColor rgb="FF1A237E"/>
      <rgbColor rgb="FF33691E"/>
      <rgbColor rgb="FF1A1A1A"/>
      <rgbColor rgb="FF3E2723"/>
      <rgbColor rgb="FF993300"/>
      <rgbColor rgb="FF993366"/>
      <rgbColor rgb="FF424242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0D0D"/>
    <pageSetUpPr fitToPage="false"/>
  </sheetPr>
  <dimension ref="A1:O2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1"/>
    <col collapsed="false" customWidth="true" hidden="false" outlineLevel="0" max="7" min="7" style="0" width="22"/>
    <col collapsed="false" customWidth="true" hidden="false" outlineLevel="0" max="9" min="8" style="0" width="12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22"/>
  </cols>
  <sheetData>
    <row r="1" customFormat="false" ht="4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7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15" hidden="false" customHeight="false" outlineLevel="0" collapsed="false">
      <c r="A5" s="4" t="s">
        <v>17</v>
      </c>
      <c r="B5" s="5" t="s">
        <v>18</v>
      </c>
      <c r="C5" s="6" t="s">
        <v>19</v>
      </c>
      <c r="D5" s="7" t="s">
        <v>20</v>
      </c>
      <c r="E5" s="8" t="s">
        <v>21</v>
      </c>
      <c r="F5" s="9" t="s">
        <v>22</v>
      </c>
      <c r="G5" s="10" t="s">
        <v>23</v>
      </c>
      <c r="H5" s="11" t="n">
        <v>8927</v>
      </c>
      <c r="I5" s="12" t="n">
        <v>1102</v>
      </c>
      <c r="J5" s="13" t="n">
        <f aca="false">H5*I5</f>
        <v>9837554</v>
      </c>
      <c r="K5" s="14" t="s">
        <v>24</v>
      </c>
      <c r="L5" s="8" t="s">
        <v>25</v>
      </c>
      <c r="M5" s="15" t="s">
        <v>26</v>
      </c>
      <c r="N5" s="16" t="n">
        <v>3.5</v>
      </c>
      <c r="O5" s="17" t="s">
        <v>27</v>
      </c>
    </row>
    <row r="6" customFormat="false" ht="15" hidden="false" customHeight="false" outlineLevel="0" collapsed="false">
      <c r="A6" s="4" t="s">
        <v>28</v>
      </c>
      <c r="B6" s="5" t="s">
        <v>29</v>
      </c>
      <c r="C6" s="18" t="s">
        <v>30</v>
      </c>
      <c r="D6" s="19" t="s">
        <v>31</v>
      </c>
      <c r="E6" s="20" t="s">
        <v>32</v>
      </c>
      <c r="F6" s="21" t="s">
        <v>33</v>
      </c>
      <c r="G6" s="22" t="s">
        <v>34</v>
      </c>
      <c r="H6" s="23" t="n">
        <v>5933</v>
      </c>
      <c r="I6" s="24" t="n">
        <v>899</v>
      </c>
      <c r="J6" s="13" t="n">
        <f aca="false">H6*I6</f>
        <v>5333767</v>
      </c>
      <c r="K6" s="25" t="s">
        <v>35</v>
      </c>
      <c r="L6" s="20" t="s">
        <v>36</v>
      </c>
      <c r="M6" s="26" t="s">
        <v>37</v>
      </c>
      <c r="N6" s="27" t="n">
        <v>5</v>
      </c>
      <c r="O6" s="28" t="s">
        <v>38</v>
      </c>
    </row>
    <row r="7" customFormat="false" ht="15" hidden="false" customHeight="false" outlineLevel="0" collapsed="false">
      <c r="A7" s="4" t="s">
        <v>39</v>
      </c>
      <c r="B7" s="5" t="s">
        <v>40</v>
      </c>
      <c r="C7" s="18" t="s">
        <v>30</v>
      </c>
      <c r="D7" s="29" t="s">
        <v>41</v>
      </c>
      <c r="E7" s="8" t="s">
        <v>42</v>
      </c>
      <c r="F7" s="9" t="s">
        <v>43</v>
      </c>
      <c r="G7" s="10" t="s">
        <v>44</v>
      </c>
      <c r="H7" s="11" t="n">
        <v>4100</v>
      </c>
      <c r="I7" s="12" t="n">
        <v>546</v>
      </c>
      <c r="J7" s="13" t="n">
        <f aca="false">H7*I7</f>
        <v>2238600</v>
      </c>
      <c r="K7" s="14" t="s">
        <v>24</v>
      </c>
      <c r="L7" s="8" t="s">
        <v>45</v>
      </c>
      <c r="M7" s="15" t="s">
        <v>46</v>
      </c>
      <c r="N7" s="16" t="n">
        <v>8.1</v>
      </c>
      <c r="O7" s="28" t="s">
        <v>47</v>
      </c>
    </row>
    <row r="8" customFormat="false" ht="15" hidden="false" customHeight="false" outlineLevel="0" collapsed="false">
      <c r="A8" s="4" t="s">
        <v>48</v>
      </c>
      <c r="B8" s="5" t="s">
        <v>49</v>
      </c>
      <c r="C8" s="30" t="s">
        <v>50</v>
      </c>
      <c r="D8" s="19" t="s">
        <v>51</v>
      </c>
      <c r="E8" s="20" t="s">
        <v>21</v>
      </c>
      <c r="F8" s="21" t="s">
        <v>52</v>
      </c>
      <c r="G8" s="22" t="s">
        <v>53</v>
      </c>
      <c r="H8" s="23" t="n">
        <v>418</v>
      </c>
      <c r="I8" s="24" t="n">
        <v>18930</v>
      </c>
      <c r="J8" s="13" t="n">
        <f aca="false">H8*I8</f>
        <v>7912740</v>
      </c>
      <c r="K8" s="14" t="s">
        <v>24</v>
      </c>
      <c r="L8" s="20" t="s">
        <v>54</v>
      </c>
      <c r="M8" s="26" t="s">
        <v>55</v>
      </c>
      <c r="N8" s="27" t="n">
        <v>9.9</v>
      </c>
      <c r="O8" s="28" t="s">
        <v>56</v>
      </c>
    </row>
    <row r="9" customFormat="false" ht="15" hidden="false" customHeight="false" outlineLevel="0" collapsed="false">
      <c r="A9" s="4" t="s">
        <v>57</v>
      </c>
      <c r="B9" s="5" t="s">
        <v>58</v>
      </c>
      <c r="C9" s="18" t="s">
        <v>30</v>
      </c>
      <c r="D9" s="29" t="s">
        <v>59</v>
      </c>
      <c r="E9" s="8" t="s">
        <v>60</v>
      </c>
      <c r="F9" s="9" t="s">
        <v>61</v>
      </c>
      <c r="G9" s="10" t="s">
        <v>62</v>
      </c>
      <c r="H9" s="11" t="n">
        <v>6256</v>
      </c>
      <c r="I9" s="12" t="n">
        <v>1091</v>
      </c>
      <c r="J9" s="13" t="n">
        <f aca="false">H9*I9</f>
        <v>6825296</v>
      </c>
      <c r="K9" s="14" t="s">
        <v>24</v>
      </c>
      <c r="L9" s="8" t="s">
        <v>63</v>
      </c>
      <c r="M9" s="15" t="s">
        <v>64</v>
      </c>
      <c r="N9" s="16" t="n">
        <v>4.4</v>
      </c>
      <c r="O9" s="28" t="s">
        <v>56</v>
      </c>
    </row>
    <row r="10" customFormat="false" ht="15" hidden="false" customHeight="false" outlineLevel="0" collapsed="false">
      <c r="A10" s="4" t="s">
        <v>65</v>
      </c>
      <c r="B10" s="5" t="s">
        <v>66</v>
      </c>
      <c r="C10" s="18" t="s">
        <v>30</v>
      </c>
      <c r="D10" s="19" t="s">
        <v>67</v>
      </c>
      <c r="E10" s="20" t="s">
        <v>21</v>
      </c>
      <c r="F10" s="21" t="s">
        <v>68</v>
      </c>
      <c r="G10" s="22" t="s">
        <v>69</v>
      </c>
      <c r="H10" s="23" t="n">
        <v>3949</v>
      </c>
      <c r="I10" s="24" t="n">
        <v>2175</v>
      </c>
      <c r="J10" s="13" t="n">
        <f aca="false">H10*I10</f>
        <v>8589075</v>
      </c>
      <c r="K10" s="25" t="s">
        <v>35</v>
      </c>
      <c r="L10" s="20" t="s">
        <v>70</v>
      </c>
      <c r="M10" s="26" t="s">
        <v>64</v>
      </c>
      <c r="N10" s="27" t="n">
        <v>7.5</v>
      </c>
      <c r="O10" s="28" t="s">
        <v>38</v>
      </c>
    </row>
    <row r="11" customFormat="false" ht="15" hidden="false" customHeight="false" outlineLevel="0" collapsed="false">
      <c r="A11" s="4" t="s">
        <v>71</v>
      </c>
      <c r="B11" s="5" t="s">
        <v>72</v>
      </c>
      <c r="C11" s="30" t="s">
        <v>50</v>
      </c>
      <c r="D11" s="29" t="s">
        <v>73</v>
      </c>
      <c r="E11" s="8" t="s">
        <v>74</v>
      </c>
      <c r="F11" s="9" t="s">
        <v>21</v>
      </c>
      <c r="G11" s="10" t="s">
        <v>75</v>
      </c>
      <c r="H11" s="11" t="n">
        <v>569</v>
      </c>
      <c r="I11" s="12" t="n">
        <v>18431</v>
      </c>
      <c r="J11" s="13" t="n">
        <f aca="false">H11*I11</f>
        <v>10487239</v>
      </c>
      <c r="K11" s="14" t="s">
        <v>24</v>
      </c>
      <c r="L11" s="8" t="s">
        <v>76</v>
      </c>
      <c r="M11" s="15" t="s">
        <v>37</v>
      </c>
      <c r="N11" s="16" t="n">
        <v>13.4</v>
      </c>
      <c r="O11" s="28" t="s">
        <v>38</v>
      </c>
    </row>
    <row r="12" customFormat="false" ht="15" hidden="false" customHeight="false" outlineLevel="0" collapsed="false">
      <c r="A12" s="4" t="s">
        <v>77</v>
      </c>
      <c r="B12" s="5" t="s">
        <v>78</v>
      </c>
      <c r="C12" s="18" t="s">
        <v>30</v>
      </c>
      <c r="D12" s="19" t="s">
        <v>79</v>
      </c>
      <c r="E12" s="20" t="s">
        <v>21</v>
      </c>
      <c r="F12" s="21" t="s">
        <v>22</v>
      </c>
      <c r="G12" s="22" t="s">
        <v>80</v>
      </c>
      <c r="H12" s="23" t="n">
        <v>4232</v>
      </c>
      <c r="I12" s="24" t="n">
        <v>742</v>
      </c>
      <c r="J12" s="13" t="n">
        <f aca="false">H12*I12</f>
        <v>3140144</v>
      </c>
      <c r="K12" s="14" t="s">
        <v>24</v>
      </c>
      <c r="L12" s="20" t="s">
        <v>81</v>
      </c>
      <c r="M12" s="26" t="s">
        <v>46</v>
      </c>
      <c r="N12" s="27" t="n">
        <v>5.2</v>
      </c>
      <c r="O12" s="28" t="s">
        <v>82</v>
      </c>
    </row>
    <row r="13" customFormat="false" ht="15" hidden="false" customHeight="false" outlineLevel="0" collapsed="false">
      <c r="A13" s="4" t="s">
        <v>83</v>
      </c>
      <c r="B13" s="5" t="s">
        <v>84</v>
      </c>
      <c r="C13" s="31" t="s">
        <v>85</v>
      </c>
      <c r="D13" s="29" t="s">
        <v>86</v>
      </c>
      <c r="E13" s="8" t="s">
        <v>87</v>
      </c>
      <c r="F13" s="9" t="s">
        <v>32</v>
      </c>
      <c r="G13" s="10" t="s">
        <v>88</v>
      </c>
      <c r="H13" s="11" t="n">
        <v>59875</v>
      </c>
      <c r="I13" s="12" t="n">
        <v>83.4</v>
      </c>
      <c r="J13" s="13" t="n">
        <f aca="false">H13*I13</f>
        <v>4993575</v>
      </c>
      <c r="K13" s="14" t="s">
        <v>24</v>
      </c>
      <c r="L13" s="8" t="s">
        <v>89</v>
      </c>
      <c r="M13" s="15" t="s">
        <v>90</v>
      </c>
      <c r="N13" s="16" t="n">
        <v>2.8</v>
      </c>
      <c r="O13" s="28" t="s">
        <v>91</v>
      </c>
    </row>
    <row r="14" customFormat="false" ht="15" hidden="false" customHeight="false" outlineLevel="0" collapsed="false">
      <c r="A14" s="4" t="s">
        <v>92</v>
      </c>
      <c r="B14" s="5" t="s">
        <v>93</v>
      </c>
      <c r="C14" s="31" t="s">
        <v>85</v>
      </c>
      <c r="D14" s="19" t="s">
        <v>86</v>
      </c>
      <c r="E14" s="20" t="s">
        <v>68</v>
      </c>
      <c r="F14" s="21" t="s">
        <v>60</v>
      </c>
      <c r="G14" s="22" t="s">
        <v>94</v>
      </c>
      <c r="H14" s="23" t="n">
        <v>33885</v>
      </c>
      <c r="I14" s="24" t="n">
        <v>82.4</v>
      </c>
      <c r="J14" s="13" t="n">
        <f aca="false">H14*I14</f>
        <v>2792124</v>
      </c>
      <c r="K14" s="25" t="s">
        <v>35</v>
      </c>
      <c r="L14" s="20" t="s">
        <v>95</v>
      </c>
      <c r="M14" s="26" t="s">
        <v>64</v>
      </c>
      <c r="N14" s="27" t="n">
        <v>1.7</v>
      </c>
      <c r="O14" s="28" t="s">
        <v>96</v>
      </c>
    </row>
    <row r="15" customFormat="false" ht="15" hidden="false" customHeight="false" outlineLevel="0" collapsed="false">
      <c r="A15" s="4" t="s">
        <v>97</v>
      </c>
      <c r="B15" s="5" t="s">
        <v>98</v>
      </c>
      <c r="C15" s="31" t="s">
        <v>85</v>
      </c>
      <c r="D15" s="29" t="s">
        <v>86</v>
      </c>
      <c r="E15" s="8" t="s">
        <v>99</v>
      </c>
      <c r="F15" s="9" t="s">
        <v>32</v>
      </c>
      <c r="G15" s="10" t="s">
        <v>100</v>
      </c>
      <c r="H15" s="11" t="n">
        <v>45436</v>
      </c>
      <c r="I15" s="12" t="n">
        <v>80.2</v>
      </c>
      <c r="J15" s="13" t="n">
        <f aca="false">H15*I15</f>
        <v>3643967.2</v>
      </c>
      <c r="K15" s="14" t="s">
        <v>24</v>
      </c>
      <c r="L15" s="8" t="s">
        <v>89</v>
      </c>
      <c r="M15" s="15" t="s">
        <v>90</v>
      </c>
      <c r="N15" s="16" t="n">
        <v>2.3</v>
      </c>
      <c r="O15" s="28" t="s">
        <v>101</v>
      </c>
    </row>
    <row r="16" customFormat="false" ht="15" hidden="false" customHeight="false" outlineLevel="0" collapsed="false">
      <c r="A16" s="4" t="s">
        <v>102</v>
      </c>
      <c r="B16" s="5" t="s">
        <v>103</v>
      </c>
      <c r="C16" s="18" t="s">
        <v>30</v>
      </c>
      <c r="D16" s="19" t="s">
        <v>79</v>
      </c>
      <c r="E16" s="20" t="s">
        <v>60</v>
      </c>
      <c r="F16" s="21" t="s">
        <v>104</v>
      </c>
      <c r="G16" s="22" t="s">
        <v>105</v>
      </c>
      <c r="H16" s="23" t="n">
        <v>2462</v>
      </c>
      <c r="I16" s="24" t="n">
        <v>734</v>
      </c>
      <c r="J16" s="13" t="n">
        <f aca="false">H16*I16</f>
        <v>1807108</v>
      </c>
      <c r="K16" s="25" t="s">
        <v>35</v>
      </c>
      <c r="L16" s="20" t="s">
        <v>36</v>
      </c>
      <c r="M16" s="26" t="s">
        <v>55</v>
      </c>
      <c r="N16" s="27" t="n">
        <v>8.5</v>
      </c>
      <c r="O16" s="28" t="s">
        <v>106</v>
      </c>
    </row>
    <row r="17" customFormat="false" ht="15" hidden="false" customHeight="false" outlineLevel="0" collapsed="false">
      <c r="A17" s="4" t="s">
        <v>107</v>
      </c>
      <c r="B17" s="5" t="s">
        <v>108</v>
      </c>
      <c r="C17" s="18" t="s">
        <v>30</v>
      </c>
      <c r="D17" s="29" t="s">
        <v>59</v>
      </c>
      <c r="E17" s="8" t="s">
        <v>42</v>
      </c>
      <c r="F17" s="9" t="s">
        <v>109</v>
      </c>
      <c r="G17" s="10" t="s">
        <v>110</v>
      </c>
      <c r="H17" s="11" t="n">
        <v>5553</v>
      </c>
      <c r="I17" s="12" t="n">
        <v>1151</v>
      </c>
      <c r="J17" s="13" t="n">
        <f aca="false">H17*I17</f>
        <v>6391503</v>
      </c>
      <c r="K17" s="14" t="s">
        <v>24</v>
      </c>
      <c r="L17" s="8" t="s">
        <v>70</v>
      </c>
      <c r="M17" s="15" t="s">
        <v>37</v>
      </c>
      <c r="N17" s="16" t="n">
        <v>5</v>
      </c>
      <c r="O17" s="28" t="s">
        <v>56</v>
      </c>
    </row>
    <row r="18" customFormat="false" ht="15" hidden="false" customHeight="false" outlineLevel="0" collapsed="false">
      <c r="A18" s="4" t="s">
        <v>111</v>
      </c>
      <c r="B18" s="5" t="s">
        <v>112</v>
      </c>
      <c r="C18" s="18" t="s">
        <v>30</v>
      </c>
      <c r="D18" s="19" t="s">
        <v>67</v>
      </c>
      <c r="E18" s="20" t="s">
        <v>42</v>
      </c>
      <c r="F18" s="21" t="s">
        <v>43</v>
      </c>
      <c r="G18" s="22" t="s">
        <v>80</v>
      </c>
      <c r="H18" s="23" t="n">
        <v>5540</v>
      </c>
      <c r="I18" s="24" t="n">
        <v>2181</v>
      </c>
      <c r="J18" s="13" t="n">
        <f aca="false">H18*I18</f>
        <v>12082740</v>
      </c>
      <c r="K18" s="14" t="s">
        <v>24</v>
      </c>
      <c r="L18" s="20" t="s">
        <v>113</v>
      </c>
      <c r="M18" s="26" t="s">
        <v>46</v>
      </c>
      <c r="N18" s="27" t="n">
        <v>4.5</v>
      </c>
      <c r="O18" s="28" t="s">
        <v>96</v>
      </c>
    </row>
    <row r="19" customFormat="false" ht="15" hidden="false" customHeight="false" outlineLevel="0" collapsed="false">
      <c r="A19" s="4" t="s">
        <v>114</v>
      </c>
      <c r="B19" s="5" t="s">
        <v>115</v>
      </c>
      <c r="C19" s="30" t="s">
        <v>50</v>
      </c>
      <c r="D19" s="29" t="s">
        <v>116</v>
      </c>
      <c r="E19" s="8" t="s">
        <v>99</v>
      </c>
      <c r="F19" s="9" t="s">
        <v>32</v>
      </c>
      <c r="G19" s="10" t="s">
        <v>53</v>
      </c>
      <c r="H19" s="11" t="n">
        <v>397</v>
      </c>
      <c r="I19" s="12" t="n">
        <v>8608</v>
      </c>
      <c r="J19" s="13" t="n">
        <f aca="false">H19*I19</f>
        <v>3417376</v>
      </c>
      <c r="K19" s="14" t="s">
        <v>24</v>
      </c>
      <c r="L19" s="8" t="s">
        <v>76</v>
      </c>
      <c r="M19" s="15" t="s">
        <v>37</v>
      </c>
      <c r="N19" s="16" t="n">
        <v>12.2</v>
      </c>
      <c r="O19" s="28" t="s">
        <v>91</v>
      </c>
    </row>
    <row r="20" customFormat="false" ht="15" hidden="false" customHeight="false" outlineLevel="0" collapsed="false">
      <c r="A20" s="4" t="s">
        <v>117</v>
      </c>
      <c r="B20" s="5" t="s">
        <v>118</v>
      </c>
      <c r="C20" s="31" t="s">
        <v>85</v>
      </c>
      <c r="D20" s="19" t="s">
        <v>86</v>
      </c>
      <c r="E20" s="20" t="s">
        <v>87</v>
      </c>
      <c r="F20" s="21" t="s">
        <v>21</v>
      </c>
      <c r="G20" s="22" t="s">
        <v>88</v>
      </c>
      <c r="H20" s="23" t="n">
        <v>55563</v>
      </c>
      <c r="I20" s="24" t="n">
        <v>90.1</v>
      </c>
      <c r="J20" s="13" t="n">
        <f aca="false">H20*I20</f>
        <v>5006226.3</v>
      </c>
      <c r="K20" s="14" t="s">
        <v>24</v>
      </c>
      <c r="L20" s="20" t="s">
        <v>119</v>
      </c>
      <c r="M20" s="26" t="s">
        <v>46</v>
      </c>
      <c r="N20" s="27" t="n">
        <v>1.8</v>
      </c>
      <c r="O20" s="28" t="s">
        <v>56</v>
      </c>
    </row>
    <row r="21" customFormat="false" ht="15" hidden="false" customHeight="false" outlineLevel="0" collapsed="false">
      <c r="A21" s="4" t="s">
        <v>120</v>
      </c>
      <c r="B21" s="5" t="s">
        <v>121</v>
      </c>
      <c r="C21" s="32" t="s">
        <v>122</v>
      </c>
      <c r="D21" s="29" t="s">
        <v>123</v>
      </c>
      <c r="E21" s="8" t="s">
        <v>124</v>
      </c>
      <c r="F21" s="9" t="s">
        <v>21</v>
      </c>
      <c r="G21" s="33" t="s">
        <v>125</v>
      </c>
      <c r="H21" s="11" t="n">
        <v>17410</v>
      </c>
      <c r="I21" s="12" t="n">
        <v>977</v>
      </c>
      <c r="J21" s="13" t="n">
        <f aca="false">H21*I21</f>
        <v>17009570</v>
      </c>
      <c r="K21" s="14" t="s">
        <v>24</v>
      </c>
      <c r="L21" s="8" t="s">
        <v>126</v>
      </c>
      <c r="M21" s="15" t="s">
        <v>127</v>
      </c>
      <c r="N21" s="16" t="n">
        <v>3.5</v>
      </c>
      <c r="O21" s="28" t="s">
        <v>56</v>
      </c>
    </row>
    <row r="22" customFormat="false" ht="15" hidden="false" customHeight="false" outlineLevel="0" collapsed="false">
      <c r="A22" s="4" t="s">
        <v>128</v>
      </c>
      <c r="B22" s="5" t="s">
        <v>129</v>
      </c>
      <c r="C22" s="31" t="s">
        <v>85</v>
      </c>
      <c r="D22" s="34" t="s">
        <v>130</v>
      </c>
      <c r="E22" s="20" t="s">
        <v>81</v>
      </c>
      <c r="F22" s="21" t="s">
        <v>131</v>
      </c>
      <c r="G22" s="22" t="s">
        <v>94</v>
      </c>
      <c r="H22" s="23" t="n">
        <v>41907</v>
      </c>
      <c r="I22" s="24" t="n">
        <v>12</v>
      </c>
      <c r="J22" s="13" t="n">
        <f aca="false">H22*I22</f>
        <v>502884</v>
      </c>
      <c r="K22" s="14" t="s">
        <v>24</v>
      </c>
      <c r="L22" s="20" t="s">
        <v>89</v>
      </c>
      <c r="M22" s="26" t="s">
        <v>37</v>
      </c>
      <c r="N22" s="27" t="n">
        <v>1.9</v>
      </c>
      <c r="O22" s="35"/>
    </row>
    <row r="23" customFormat="false" ht="15" hidden="false" customHeight="false" outlineLevel="0" collapsed="false">
      <c r="A23" s="4" t="s">
        <v>132</v>
      </c>
      <c r="B23" s="5" t="s">
        <v>133</v>
      </c>
      <c r="C23" s="32" t="s">
        <v>122</v>
      </c>
      <c r="D23" s="29" t="s">
        <v>134</v>
      </c>
      <c r="E23" s="8" t="s">
        <v>124</v>
      </c>
      <c r="F23" s="9" t="s">
        <v>135</v>
      </c>
      <c r="G23" s="10" t="s">
        <v>136</v>
      </c>
      <c r="H23" s="11" t="n">
        <v>17485</v>
      </c>
      <c r="I23" s="12" t="n">
        <v>276</v>
      </c>
      <c r="J23" s="13" t="n">
        <f aca="false">H23*I23</f>
        <v>4825860</v>
      </c>
      <c r="K23" s="14" t="s">
        <v>24</v>
      </c>
      <c r="L23" s="8" t="s">
        <v>137</v>
      </c>
      <c r="M23" s="15" t="s">
        <v>90</v>
      </c>
      <c r="N23" s="16" t="n">
        <v>3.6</v>
      </c>
      <c r="O23" s="28" t="s">
        <v>96</v>
      </c>
    </row>
    <row r="24" customFormat="false" ht="15" hidden="false" customHeight="false" outlineLevel="0" collapsed="false">
      <c r="A24" s="4" t="s">
        <v>138</v>
      </c>
      <c r="B24" s="5" t="s">
        <v>139</v>
      </c>
      <c r="C24" s="32" t="s">
        <v>122</v>
      </c>
      <c r="D24" s="19" t="s">
        <v>140</v>
      </c>
      <c r="E24" s="20" t="s">
        <v>141</v>
      </c>
      <c r="F24" s="21" t="s">
        <v>32</v>
      </c>
      <c r="G24" s="22" t="s">
        <v>142</v>
      </c>
      <c r="H24" s="23" t="n">
        <v>18424</v>
      </c>
      <c r="I24" s="24" t="n">
        <v>449</v>
      </c>
      <c r="J24" s="13" t="n">
        <f aca="false">H24*I24</f>
        <v>8272376</v>
      </c>
      <c r="K24" s="25" t="s">
        <v>35</v>
      </c>
      <c r="L24" s="20" t="s">
        <v>143</v>
      </c>
      <c r="M24" s="26" t="s">
        <v>46</v>
      </c>
      <c r="N24" s="27" t="n">
        <v>4.5</v>
      </c>
      <c r="O24" s="17" t="s">
        <v>27</v>
      </c>
    </row>
    <row r="25" customFormat="false" ht="15" hidden="false" customHeight="false" outlineLevel="0" collapsed="false">
      <c r="A25" s="4" t="s">
        <v>144</v>
      </c>
      <c r="B25" s="5" t="s">
        <v>145</v>
      </c>
      <c r="C25" s="31" t="s">
        <v>85</v>
      </c>
      <c r="D25" s="7" t="s">
        <v>146</v>
      </c>
      <c r="E25" s="8" t="s">
        <v>147</v>
      </c>
      <c r="F25" s="9" t="s">
        <v>32</v>
      </c>
      <c r="G25" s="10" t="s">
        <v>88</v>
      </c>
      <c r="H25" s="11" t="n">
        <v>46211</v>
      </c>
      <c r="I25" s="12" t="n">
        <v>622</v>
      </c>
      <c r="J25" s="13" t="n">
        <f aca="false">H25*I25</f>
        <v>28743242</v>
      </c>
      <c r="K25" s="36" t="s">
        <v>35</v>
      </c>
      <c r="L25" s="8" t="s">
        <v>95</v>
      </c>
      <c r="M25" s="15" t="s">
        <v>37</v>
      </c>
      <c r="N25" s="16" t="n">
        <v>2.2</v>
      </c>
      <c r="O25" s="28" t="s">
        <v>56</v>
      </c>
    </row>
    <row r="26" customFormat="false" ht="15" hidden="false" customHeight="false" outlineLevel="0" collapsed="false">
      <c r="A26" s="4" t="s">
        <v>148</v>
      </c>
      <c r="B26" s="5" t="s">
        <v>149</v>
      </c>
      <c r="C26" s="18" t="s">
        <v>30</v>
      </c>
      <c r="D26" s="19" t="s">
        <v>150</v>
      </c>
      <c r="E26" s="20" t="s">
        <v>60</v>
      </c>
      <c r="F26" s="21" t="s">
        <v>60</v>
      </c>
      <c r="G26" s="22" t="s">
        <v>105</v>
      </c>
      <c r="H26" s="23" t="n">
        <v>2899</v>
      </c>
      <c r="I26" s="24" t="n">
        <v>691</v>
      </c>
      <c r="J26" s="13" t="n">
        <f aca="false">H26*I26</f>
        <v>2003209</v>
      </c>
      <c r="K26" s="25" t="s">
        <v>35</v>
      </c>
      <c r="L26" s="20" t="s">
        <v>113</v>
      </c>
      <c r="M26" s="26" t="s">
        <v>151</v>
      </c>
      <c r="N26" s="27" t="n">
        <v>4</v>
      </c>
      <c r="O26" s="35"/>
    </row>
    <row r="27" customFormat="false" ht="15" hidden="false" customHeight="false" outlineLevel="0" collapsed="false">
      <c r="A27" s="4" t="s">
        <v>152</v>
      </c>
      <c r="B27" s="5" t="s">
        <v>153</v>
      </c>
      <c r="C27" s="18" t="s">
        <v>30</v>
      </c>
      <c r="D27" s="7" t="s">
        <v>154</v>
      </c>
      <c r="E27" s="8" t="s">
        <v>60</v>
      </c>
      <c r="F27" s="9" t="s">
        <v>33</v>
      </c>
      <c r="G27" s="10" t="s">
        <v>69</v>
      </c>
      <c r="H27" s="11" t="n">
        <v>5705</v>
      </c>
      <c r="I27" s="12" t="n">
        <v>1899</v>
      </c>
      <c r="J27" s="13" t="n">
        <f aca="false">H27*I27</f>
        <v>10833795</v>
      </c>
      <c r="K27" s="14" t="s">
        <v>24</v>
      </c>
      <c r="L27" s="8" t="s">
        <v>45</v>
      </c>
      <c r="M27" s="15" t="s">
        <v>55</v>
      </c>
      <c r="N27" s="16" t="n">
        <v>8.9</v>
      </c>
      <c r="O27" s="28" t="s">
        <v>56</v>
      </c>
    </row>
    <row r="28" customFormat="false" ht="15" hidden="false" customHeight="false" outlineLevel="0" collapsed="false">
      <c r="A28" s="4" t="s">
        <v>155</v>
      </c>
      <c r="B28" s="5" t="s">
        <v>156</v>
      </c>
      <c r="C28" s="18" t="s">
        <v>30</v>
      </c>
      <c r="D28" s="19" t="s">
        <v>157</v>
      </c>
      <c r="E28" s="20" t="s">
        <v>42</v>
      </c>
      <c r="F28" s="21" t="s">
        <v>158</v>
      </c>
      <c r="G28" s="22" t="s">
        <v>159</v>
      </c>
      <c r="H28" s="23" t="n">
        <v>5500</v>
      </c>
      <c r="I28" s="24" t="n">
        <v>985</v>
      </c>
      <c r="J28" s="13" t="n">
        <f aca="false">H28*I28</f>
        <v>5417500</v>
      </c>
      <c r="K28" s="14" t="s">
        <v>24</v>
      </c>
      <c r="L28" s="20" t="s">
        <v>36</v>
      </c>
      <c r="M28" s="26" t="s">
        <v>37</v>
      </c>
      <c r="N28" s="27" t="n">
        <v>8.1</v>
      </c>
      <c r="O28" s="35"/>
    </row>
    <row r="29" customFormat="false" ht="15" hidden="false" customHeight="false" outlineLevel="0" collapsed="false">
      <c r="A29" s="4" t="s">
        <v>160</v>
      </c>
      <c r="B29" s="5" t="s">
        <v>161</v>
      </c>
      <c r="C29" s="18" t="s">
        <v>30</v>
      </c>
      <c r="D29" s="29" t="s">
        <v>59</v>
      </c>
      <c r="E29" s="8" t="s">
        <v>42</v>
      </c>
      <c r="F29" s="9" t="s">
        <v>104</v>
      </c>
      <c r="G29" s="10" t="s">
        <v>62</v>
      </c>
      <c r="H29" s="11" t="n">
        <v>3128</v>
      </c>
      <c r="I29" s="12" t="n">
        <v>1098</v>
      </c>
      <c r="J29" s="13" t="n">
        <f aca="false">H29*I29</f>
        <v>3434544</v>
      </c>
      <c r="K29" s="14" t="s">
        <v>24</v>
      </c>
      <c r="L29" s="8" t="s">
        <v>63</v>
      </c>
      <c r="M29" s="15" t="s">
        <v>26</v>
      </c>
      <c r="N29" s="16" t="n">
        <v>6.3</v>
      </c>
      <c r="O29" s="28" t="s">
        <v>162</v>
      </c>
    </row>
    <row r="30" customFormat="false" ht="15" hidden="false" customHeight="false" outlineLevel="0" collapsed="false">
      <c r="A30" s="4" t="s">
        <v>163</v>
      </c>
      <c r="B30" s="5" t="s">
        <v>164</v>
      </c>
      <c r="C30" s="18" t="s">
        <v>30</v>
      </c>
      <c r="D30" s="19" t="s">
        <v>41</v>
      </c>
      <c r="E30" s="20" t="s">
        <v>60</v>
      </c>
      <c r="F30" s="21" t="s">
        <v>109</v>
      </c>
      <c r="G30" s="22" t="s">
        <v>80</v>
      </c>
      <c r="H30" s="23" t="n">
        <v>5669</v>
      </c>
      <c r="I30" s="24" t="n">
        <v>559</v>
      </c>
      <c r="J30" s="13" t="n">
        <f aca="false">H30*I30</f>
        <v>3168971</v>
      </c>
      <c r="K30" s="14" t="s">
        <v>24</v>
      </c>
      <c r="L30" s="20" t="s">
        <v>165</v>
      </c>
      <c r="M30" s="26" t="s">
        <v>151</v>
      </c>
      <c r="N30" s="27" t="n">
        <v>7.7</v>
      </c>
      <c r="O30" s="28" t="s">
        <v>96</v>
      </c>
    </row>
    <row r="31" customFormat="false" ht="15" hidden="false" customHeight="false" outlineLevel="0" collapsed="false">
      <c r="A31" s="4" t="s">
        <v>166</v>
      </c>
      <c r="B31" s="5" t="s">
        <v>167</v>
      </c>
      <c r="C31" s="18" t="s">
        <v>30</v>
      </c>
      <c r="D31" s="29" t="s">
        <v>157</v>
      </c>
      <c r="E31" s="8" t="s">
        <v>60</v>
      </c>
      <c r="F31" s="9" t="s">
        <v>43</v>
      </c>
      <c r="G31" s="10" t="s">
        <v>44</v>
      </c>
      <c r="H31" s="11" t="n">
        <v>4449</v>
      </c>
      <c r="I31" s="12" t="n">
        <v>957</v>
      </c>
      <c r="J31" s="13" t="n">
        <f aca="false">H31*I31</f>
        <v>4257693</v>
      </c>
      <c r="K31" s="14" t="s">
        <v>24</v>
      </c>
      <c r="L31" s="8" t="s">
        <v>76</v>
      </c>
      <c r="M31" s="15" t="s">
        <v>37</v>
      </c>
      <c r="N31" s="16" t="n">
        <v>8.9</v>
      </c>
      <c r="O31" s="17" t="s">
        <v>27</v>
      </c>
    </row>
    <row r="32" customFormat="false" ht="15" hidden="false" customHeight="false" outlineLevel="0" collapsed="false">
      <c r="A32" s="4" t="s">
        <v>168</v>
      </c>
      <c r="B32" s="5" t="s">
        <v>169</v>
      </c>
      <c r="C32" s="18" t="s">
        <v>30</v>
      </c>
      <c r="D32" s="34" t="s">
        <v>154</v>
      </c>
      <c r="E32" s="20" t="s">
        <v>60</v>
      </c>
      <c r="F32" s="21" t="s">
        <v>68</v>
      </c>
      <c r="G32" s="22" t="s">
        <v>110</v>
      </c>
      <c r="H32" s="23" t="n">
        <v>3259</v>
      </c>
      <c r="I32" s="24" t="n">
        <v>1822</v>
      </c>
      <c r="J32" s="13" t="n">
        <f aca="false">H32*I32</f>
        <v>5937898</v>
      </c>
      <c r="K32" s="25" t="s">
        <v>35</v>
      </c>
      <c r="L32" s="20" t="s">
        <v>170</v>
      </c>
      <c r="M32" s="26" t="s">
        <v>46</v>
      </c>
      <c r="N32" s="27" t="n">
        <v>4.8</v>
      </c>
      <c r="O32" s="17" t="s">
        <v>27</v>
      </c>
    </row>
    <row r="33" customFormat="false" ht="15" hidden="false" customHeight="false" outlineLevel="0" collapsed="false">
      <c r="A33" s="4" t="s">
        <v>171</v>
      </c>
      <c r="B33" s="5" t="s">
        <v>172</v>
      </c>
      <c r="C33" s="18" t="s">
        <v>30</v>
      </c>
      <c r="D33" s="7" t="s">
        <v>154</v>
      </c>
      <c r="E33" s="8" t="s">
        <v>60</v>
      </c>
      <c r="F33" s="9" t="s">
        <v>22</v>
      </c>
      <c r="G33" s="10" t="s">
        <v>173</v>
      </c>
      <c r="H33" s="11" t="n">
        <v>4168</v>
      </c>
      <c r="I33" s="12" t="n">
        <v>1849</v>
      </c>
      <c r="J33" s="13" t="n">
        <f aca="false">H33*I33</f>
        <v>7706632</v>
      </c>
      <c r="K33" s="36" t="s">
        <v>35</v>
      </c>
      <c r="L33" s="8" t="s">
        <v>113</v>
      </c>
      <c r="M33" s="15" t="s">
        <v>37</v>
      </c>
      <c r="N33" s="16" t="n">
        <v>7.1</v>
      </c>
      <c r="O33" s="28" t="s">
        <v>174</v>
      </c>
    </row>
    <row r="34" customFormat="false" ht="15" hidden="false" customHeight="false" outlineLevel="0" collapsed="false">
      <c r="A34" s="4" t="s">
        <v>175</v>
      </c>
      <c r="B34" s="5" t="s">
        <v>176</v>
      </c>
      <c r="C34" s="32" t="s">
        <v>122</v>
      </c>
      <c r="D34" s="19" t="s">
        <v>177</v>
      </c>
      <c r="E34" s="20" t="s">
        <v>22</v>
      </c>
      <c r="F34" s="21" t="s">
        <v>178</v>
      </c>
      <c r="G34" s="22" t="s">
        <v>136</v>
      </c>
      <c r="H34" s="23" t="n">
        <v>21063</v>
      </c>
      <c r="I34" s="24" t="n">
        <v>353</v>
      </c>
      <c r="J34" s="13" t="n">
        <f aca="false">H34*I34</f>
        <v>7435239</v>
      </c>
      <c r="K34" s="25" t="s">
        <v>35</v>
      </c>
      <c r="L34" s="20" t="s">
        <v>179</v>
      </c>
      <c r="M34" s="26" t="s">
        <v>26</v>
      </c>
      <c r="N34" s="27" t="n">
        <v>4.1</v>
      </c>
      <c r="O34" s="17" t="s">
        <v>27</v>
      </c>
    </row>
    <row r="35" customFormat="false" ht="15" hidden="false" customHeight="false" outlineLevel="0" collapsed="false">
      <c r="A35" s="4" t="s">
        <v>180</v>
      </c>
      <c r="B35" s="5" t="s">
        <v>181</v>
      </c>
      <c r="C35" s="31" t="s">
        <v>85</v>
      </c>
      <c r="D35" s="29" t="s">
        <v>86</v>
      </c>
      <c r="E35" s="8" t="s">
        <v>68</v>
      </c>
      <c r="F35" s="9" t="s">
        <v>60</v>
      </c>
      <c r="G35" s="10" t="s">
        <v>182</v>
      </c>
      <c r="H35" s="11" t="n">
        <v>59558</v>
      </c>
      <c r="I35" s="12" t="n">
        <v>85.6</v>
      </c>
      <c r="J35" s="13" t="n">
        <f aca="false">H35*I35</f>
        <v>5098164.8</v>
      </c>
      <c r="K35" s="36" t="s">
        <v>35</v>
      </c>
      <c r="L35" s="8" t="s">
        <v>119</v>
      </c>
      <c r="M35" s="15" t="s">
        <v>64</v>
      </c>
      <c r="N35" s="16" t="n">
        <v>2</v>
      </c>
      <c r="O35" s="17" t="s">
        <v>27</v>
      </c>
    </row>
    <row r="36" customFormat="false" ht="15" hidden="false" customHeight="false" outlineLevel="0" collapsed="false">
      <c r="A36" s="4" t="s">
        <v>183</v>
      </c>
      <c r="B36" s="5" t="s">
        <v>184</v>
      </c>
      <c r="C36" s="18" t="s">
        <v>30</v>
      </c>
      <c r="D36" s="19" t="s">
        <v>31</v>
      </c>
      <c r="E36" s="20" t="s">
        <v>32</v>
      </c>
      <c r="F36" s="21" t="s">
        <v>81</v>
      </c>
      <c r="G36" s="22" t="s">
        <v>44</v>
      </c>
      <c r="H36" s="23" t="n">
        <v>5511</v>
      </c>
      <c r="I36" s="24" t="n">
        <v>916</v>
      </c>
      <c r="J36" s="13" t="n">
        <f aca="false">H36*I36</f>
        <v>5048076</v>
      </c>
      <c r="K36" s="14" t="s">
        <v>24</v>
      </c>
      <c r="L36" s="20" t="s">
        <v>170</v>
      </c>
      <c r="M36" s="26" t="s">
        <v>151</v>
      </c>
      <c r="N36" s="27" t="n">
        <v>8.8</v>
      </c>
      <c r="O36" s="28" t="s">
        <v>47</v>
      </c>
    </row>
    <row r="37" customFormat="false" ht="15" hidden="false" customHeight="false" outlineLevel="0" collapsed="false">
      <c r="A37" s="4" t="s">
        <v>185</v>
      </c>
      <c r="B37" s="5" t="s">
        <v>186</v>
      </c>
      <c r="C37" s="6" t="s">
        <v>19</v>
      </c>
      <c r="D37" s="7" t="s">
        <v>20</v>
      </c>
      <c r="E37" s="8" t="s">
        <v>147</v>
      </c>
      <c r="F37" s="9" t="s">
        <v>187</v>
      </c>
      <c r="G37" s="10" t="s">
        <v>23</v>
      </c>
      <c r="H37" s="11" t="n">
        <v>3829</v>
      </c>
      <c r="I37" s="12" t="n">
        <v>1127</v>
      </c>
      <c r="J37" s="13" t="n">
        <f aca="false">H37*I37</f>
        <v>4315283</v>
      </c>
      <c r="K37" s="14" t="s">
        <v>24</v>
      </c>
      <c r="L37" s="8" t="s">
        <v>119</v>
      </c>
      <c r="M37" s="15" t="s">
        <v>55</v>
      </c>
      <c r="N37" s="16" t="n">
        <v>3.3</v>
      </c>
      <c r="O37" s="17" t="s">
        <v>27</v>
      </c>
    </row>
    <row r="38" customFormat="false" ht="15" hidden="false" customHeight="false" outlineLevel="0" collapsed="false">
      <c r="A38" s="4" t="s">
        <v>188</v>
      </c>
      <c r="B38" s="5" t="s">
        <v>189</v>
      </c>
      <c r="C38" s="18" t="s">
        <v>30</v>
      </c>
      <c r="D38" s="19" t="s">
        <v>41</v>
      </c>
      <c r="E38" s="20" t="s">
        <v>32</v>
      </c>
      <c r="F38" s="21" t="s">
        <v>61</v>
      </c>
      <c r="G38" s="22" t="s">
        <v>190</v>
      </c>
      <c r="H38" s="23" t="n">
        <v>4963</v>
      </c>
      <c r="I38" s="24" t="n">
        <v>558</v>
      </c>
      <c r="J38" s="13" t="n">
        <f aca="false">H38*I38</f>
        <v>2769354</v>
      </c>
      <c r="K38" s="14" t="s">
        <v>24</v>
      </c>
      <c r="L38" s="20" t="s">
        <v>70</v>
      </c>
      <c r="M38" s="26" t="s">
        <v>46</v>
      </c>
      <c r="N38" s="27" t="n">
        <v>4.6</v>
      </c>
      <c r="O38" s="28" t="s">
        <v>162</v>
      </c>
    </row>
    <row r="39" customFormat="false" ht="15" hidden="false" customHeight="false" outlineLevel="0" collapsed="false">
      <c r="A39" s="4" t="s">
        <v>191</v>
      </c>
      <c r="B39" s="5" t="s">
        <v>192</v>
      </c>
      <c r="C39" s="31" t="s">
        <v>85</v>
      </c>
      <c r="D39" s="7" t="s">
        <v>146</v>
      </c>
      <c r="E39" s="8" t="s">
        <v>22</v>
      </c>
      <c r="F39" s="9" t="s">
        <v>32</v>
      </c>
      <c r="G39" s="10" t="s">
        <v>182</v>
      </c>
      <c r="H39" s="11" t="n">
        <v>51629</v>
      </c>
      <c r="I39" s="12" t="n">
        <v>605</v>
      </c>
      <c r="J39" s="13" t="n">
        <f aca="false">H39*I39</f>
        <v>31235545</v>
      </c>
      <c r="K39" s="14" t="s">
        <v>24</v>
      </c>
      <c r="L39" s="8" t="s">
        <v>193</v>
      </c>
      <c r="M39" s="15" t="s">
        <v>26</v>
      </c>
      <c r="N39" s="16" t="n">
        <v>2.6</v>
      </c>
      <c r="O39" s="28" t="s">
        <v>106</v>
      </c>
    </row>
    <row r="40" customFormat="false" ht="15" hidden="false" customHeight="false" outlineLevel="0" collapsed="false">
      <c r="A40" s="4" t="s">
        <v>194</v>
      </c>
      <c r="B40" s="5" t="s">
        <v>195</v>
      </c>
      <c r="C40" s="18" t="s">
        <v>30</v>
      </c>
      <c r="D40" s="19" t="s">
        <v>59</v>
      </c>
      <c r="E40" s="20" t="s">
        <v>60</v>
      </c>
      <c r="F40" s="21" t="s">
        <v>109</v>
      </c>
      <c r="G40" s="22" t="s">
        <v>190</v>
      </c>
      <c r="H40" s="23" t="n">
        <v>3101</v>
      </c>
      <c r="I40" s="24" t="n">
        <v>1065</v>
      </c>
      <c r="J40" s="13" t="n">
        <f aca="false">H40*I40</f>
        <v>3302565</v>
      </c>
      <c r="K40" s="14" t="s">
        <v>24</v>
      </c>
      <c r="L40" s="20" t="s">
        <v>165</v>
      </c>
      <c r="M40" s="26" t="s">
        <v>37</v>
      </c>
      <c r="N40" s="27" t="n">
        <v>3.9</v>
      </c>
      <c r="O40" s="28" t="s">
        <v>101</v>
      </c>
    </row>
    <row r="41" customFormat="false" ht="15" hidden="false" customHeight="false" outlineLevel="0" collapsed="false">
      <c r="A41" s="4" t="s">
        <v>196</v>
      </c>
      <c r="B41" s="5" t="s">
        <v>197</v>
      </c>
      <c r="C41" s="32" t="s">
        <v>122</v>
      </c>
      <c r="D41" s="29" t="s">
        <v>123</v>
      </c>
      <c r="E41" s="8" t="s">
        <v>147</v>
      </c>
      <c r="F41" s="9" t="s">
        <v>74</v>
      </c>
      <c r="G41" s="10" t="s">
        <v>198</v>
      </c>
      <c r="H41" s="11" t="n">
        <v>8499</v>
      </c>
      <c r="I41" s="12" t="n">
        <v>983</v>
      </c>
      <c r="J41" s="13" t="n">
        <f aca="false">H41*I41</f>
        <v>8354517</v>
      </c>
      <c r="K41" s="14" t="s">
        <v>24</v>
      </c>
      <c r="L41" s="8" t="s">
        <v>36</v>
      </c>
      <c r="M41" s="15" t="s">
        <v>26</v>
      </c>
      <c r="N41" s="16" t="n">
        <v>3</v>
      </c>
      <c r="O41" s="28" t="s">
        <v>199</v>
      </c>
    </row>
    <row r="42" customFormat="false" ht="15" hidden="false" customHeight="false" outlineLevel="0" collapsed="false">
      <c r="A42" s="4" t="s">
        <v>200</v>
      </c>
      <c r="B42" s="5" t="s">
        <v>201</v>
      </c>
      <c r="C42" s="32" t="s">
        <v>122</v>
      </c>
      <c r="D42" s="19" t="s">
        <v>202</v>
      </c>
      <c r="E42" s="20" t="s">
        <v>141</v>
      </c>
      <c r="F42" s="21" t="s">
        <v>74</v>
      </c>
      <c r="G42" s="22" t="s">
        <v>142</v>
      </c>
      <c r="H42" s="23" t="n">
        <v>16536</v>
      </c>
      <c r="I42" s="24" t="n">
        <v>608</v>
      </c>
      <c r="J42" s="13" t="n">
        <f aca="false">H42*I42</f>
        <v>10053888</v>
      </c>
      <c r="K42" s="25" t="s">
        <v>35</v>
      </c>
      <c r="L42" s="20" t="s">
        <v>203</v>
      </c>
      <c r="M42" s="26" t="s">
        <v>151</v>
      </c>
      <c r="N42" s="27" t="n">
        <v>3.3</v>
      </c>
      <c r="O42" s="17" t="s">
        <v>27</v>
      </c>
    </row>
    <row r="43" customFormat="false" ht="15" hidden="false" customHeight="false" outlineLevel="0" collapsed="false">
      <c r="A43" s="4" t="s">
        <v>204</v>
      </c>
      <c r="B43" s="5" t="s">
        <v>205</v>
      </c>
      <c r="C43" s="31" t="s">
        <v>85</v>
      </c>
      <c r="D43" s="29" t="s">
        <v>206</v>
      </c>
      <c r="E43" s="8" t="s">
        <v>147</v>
      </c>
      <c r="F43" s="9" t="s">
        <v>60</v>
      </c>
      <c r="G43" s="10" t="s">
        <v>88</v>
      </c>
      <c r="H43" s="11" t="n">
        <v>40366</v>
      </c>
      <c r="I43" s="12" t="n">
        <v>142</v>
      </c>
      <c r="J43" s="13" t="n">
        <f aca="false">H43*I43</f>
        <v>5731972</v>
      </c>
      <c r="K43" s="14" t="s">
        <v>24</v>
      </c>
      <c r="L43" s="8" t="s">
        <v>193</v>
      </c>
      <c r="M43" s="15" t="s">
        <v>55</v>
      </c>
      <c r="N43" s="16" t="n">
        <v>2.3</v>
      </c>
      <c r="O43" s="17" t="s">
        <v>27</v>
      </c>
    </row>
    <row r="44" customFormat="false" ht="15" hidden="false" customHeight="false" outlineLevel="0" collapsed="false">
      <c r="A44" s="4" t="s">
        <v>207</v>
      </c>
      <c r="B44" s="5" t="s">
        <v>208</v>
      </c>
      <c r="C44" s="30" t="s">
        <v>50</v>
      </c>
      <c r="D44" s="19" t="s">
        <v>209</v>
      </c>
      <c r="E44" s="20" t="s">
        <v>147</v>
      </c>
      <c r="F44" s="21" t="s">
        <v>210</v>
      </c>
      <c r="G44" s="22" t="s">
        <v>211</v>
      </c>
      <c r="H44" s="23" t="n">
        <v>739</v>
      </c>
      <c r="I44" s="24" t="n">
        <v>54130</v>
      </c>
      <c r="J44" s="13" t="n">
        <f aca="false">H44*I44</f>
        <v>40002070</v>
      </c>
      <c r="K44" s="25" t="s">
        <v>35</v>
      </c>
      <c r="L44" s="20" t="s">
        <v>54</v>
      </c>
      <c r="M44" s="26" t="s">
        <v>26</v>
      </c>
      <c r="N44" s="27" t="n">
        <v>11.1</v>
      </c>
      <c r="O44" s="28" t="s">
        <v>199</v>
      </c>
    </row>
    <row r="45" customFormat="false" ht="15" hidden="false" customHeight="false" outlineLevel="0" collapsed="false">
      <c r="A45" s="4" t="s">
        <v>212</v>
      </c>
      <c r="B45" s="5" t="s">
        <v>213</v>
      </c>
      <c r="C45" s="30" t="s">
        <v>50</v>
      </c>
      <c r="D45" s="29" t="s">
        <v>51</v>
      </c>
      <c r="E45" s="8" t="s">
        <v>147</v>
      </c>
      <c r="F45" s="9" t="s">
        <v>214</v>
      </c>
      <c r="G45" s="10" t="s">
        <v>215</v>
      </c>
      <c r="H45" s="11" t="n">
        <v>643</v>
      </c>
      <c r="I45" s="12" t="n">
        <v>18934</v>
      </c>
      <c r="J45" s="13" t="n">
        <f aca="false">H45*I45</f>
        <v>12174562</v>
      </c>
      <c r="K45" s="14" t="s">
        <v>24</v>
      </c>
      <c r="L45" s="8" t="s">
        <v>216</v>
      </c>
      <c r="M45" s="15" t="s">
        <v>90</v>
      </c>
      <c r="N45" s="16" t="n">
        <v>10.4</v>
      </c>
      <c r="O45" s="28" t="s">
        <v>174</v>
      </c>
    </row>
    <row r="46" customFormat="false" ht="15" hidden="false" customHeight="false" outlineLevel="0" collapsed="false">
      <c r="A46" s="4" t="s">
        <v>217</v>
      </c>
      <c r="B46" s="5" t="s">
        <v>218</v>
      </c>
      <c r="C46" s="18" t="s">
        <v>30</v>
      </c>
      <c r="D46" s="19" t="s">
        <v>59</v>
      </c>
      <c r="E46" s="20" t="s">
        <v>21</v>
      </c>
      <c r="F46" s="21" t="s">
        <v>22</v>
      </c>
      <c r="G46" s="22" t="s">
        <v>219</v>
      </c>
      <c r="H46" s="23" t="n">
        <v>1717</v>
      </c>
      <c r="I46" s="24" t="n">
        <v>1064</v>
      </c>
      <c r="J46" s="13" t="n">
        <f aca="false">H46*I46</f>
        <v>1826888</v>
      </c>
      <c r="K46" s="14" t="s">
        <v>24</v>
      </c>
      <c r="L46" s="20" t="s">
        <v>25</v>
      </c>
      <c r="M46" s="26" t="s">
        <v>64</v>
      </c>
      <c r="N46" s="27" t="n">
        <v>4</v>
      </c>
      <c r="O46" s="35"/>
    </row>
    <row r="47" customFormat="false" ht="15" hidden="false" customHeight="false" outlineLevel="0" collapsed="false">
      <c r="A47" s="4" t="s">
        <v>220</v>
      </c>
      <c r="B47" s="5" t="s">
        <v>221</v>
      </c>
      <c r="C47" s="18" t="s">
        <v>30</v>
      </c>
      <c r="D47" s="29" t="s">
        <v>79</v>
      </c>
      <c r="E47" s="8" t="s">
        <v>21</v>
      </c>
      <c r="F47" s="37" t="s">
        <v>222</v>
      </c>
      <c r="G47" s="10" t="s">
        <v>219</v>
      </c>
      <c r="H47" s="11" t="n">
        <v>2755</v>
      </c>
      <c r="I47" s="12" t="n">
        <v>732</v>
      </c>
      <c r="J47" s="13" t="n">
        <f aca="false">H47*I47</f>
        <v>2016660</v>
      </c>
      <c r="K47" s="14" t="s">
        <v>24</v>
      </c>
      <c r="L47" s="8" t="s">
        <v>165</v>
      </c>
      <c r="M47" s="15" t="s">
        <v>46</v>
      </c>
      <c r="N47" s="16" t="n">
        <v>6.1</v>
      </c>
      <c r="O47" s="28" t="s">
        <v>91</v>
      </c>
    </row>
    <row r="48" customFormat="false" ht="15" hidden="false" customHeight="false" outlineLevel="0" collapsed="false">
      <c r="A48" s="4" t="s">
        <v>223</v>
      </c>
      <c r="B48" s="5" t="s">
        <v>224</v>
      </c>
      <c r="C48" s="32" t="s">
        <v>122</v>
      </c>
      <c r="D48" s="19" t="s">
        <v>123</v>
      </c>
      <c r="E48" s="20" t="s">
        <v>124</v>
      </c>
      <c r="F48" s="21" t="s">
        <v>42</v>
      </c>
      <c r="G48" s="22" t="s">
        <v>225</v>
      </c>
      <c r="H48" s="23" t="n">
        <v>16011</v>
      </c>
      <c r="I48" s="24" t="n">
        <v>965</v>
      </c>
      <c r="J48" s="13" t="n">
        <f aca="false">H48*I48</f>
        <v>15450615</v>
      </c>
      <c r="K48" s="25" t="s">
        <v>35</v>
      </c>
      <c r="L48" s="20" t="s">
        <v>119</v>
      </c>
      <c r="M48" s="26" t="s">
        <v>90</v>
      </c>
      <c r="N48" s="27" t="n">
        <v>3.1</v>
      </c>
      <c r="O48" s="28" t="s">
        <v>174</v>
      </c>
    </row>
    <row r="49" customFormat="false" ht="15" hidden="false" customHeight="false" outlineLevel="0" collapsed="false">
      <c r="A49" s="4" t="s">
        <v>226</v>
      </c>
      <c r="B49" s="5" t="s">
        <v>227</v>
      </c>
      <c r="C49" s="18" t="s">
        <v>30</v>
      </c>
      <c r="D49" s="29" t="s">
        <v>67</v>
      </c>
      <c r="E49" s="8" t="s">
        <v>60</v>
      </c>
      <c r="F49" s="9" t="s">
        <v>61</v>
      </c>
      <c r="G49" s="10" t="s">
        <v>34</v>
      </c>
      <c r="H49" s="11" t="n">
        <v>3290</v>
      </c>
      <c r="I49" s="12" t="n">
        <v>2177</v>
      </c>
      <c r="J49" s="13" t="n">
        <f aca="false">H49*I49</f>
        <v>7162330</v>
      </c>
      <c r="K49" s="36" t="s">
        <v>35</v>
      </c>
      <c r="L49" s="8" t="s">
        <v>63</v>
      </c>
      <c r="M49" s="15" t="s">
        <v>26</v>
      </c>
      <c r="N49" s="16" t="n">
        <v>3.7</v>
      </c>
      <c r="O49" s="28" t="s">
        <v>162</v>
      </c>
    </row>
    <row r="50" customFormat="false" ht="15" hidden="false" customHeight="false" outlineLevel="0" collapsed="false">
      <c r="A50" s="4" t="s">
        <v>228</v>
      </c>
      <c r="B50" s="5" t="s">
        <v>229</v>
      </c>
      <c r="C50" s="18" t="s">
        <v>30</v>
      </c>
      <c r="D50" s="19" t="s">
        <v>157</v>
      </c>
      <c r="E50" s="20" t="s">
        <v>42</v>
      </c>
      <c r="F50" s="21" t="s">
        <v>141</v>
      </c>
      <c r="G50" s="22" t="s">
        <v>230</v>
      </c>
      <c r="H50" s="23" t="n">
        <v>6254</v>
      </c>
      <c r="I50" s="24" t="n">
        <v>951</v>
      </c>
      <c r="J50" s="13" t="n">
        <f aca="false">H50*I50</f>
        <v>5947554</v>
      </c>
      <c r="K50" s="25" t="s">
        <v>35</v>
      </c>
      <c r="L50" s="20" t="s">
        <v>165</v>
      </c>
      <c r="M50" s="26" t="s">
        <v>55</v>
      </c>
      <c r="N50" s="27" t="n">
        <v>6.8</v>
      </c>
      <c r="O50" s="17" t="s">
        <v>27</v>
      </c>
    </row>
    <row r="51" customFormat="false" ht="15" hidden="false" customHeight="false" outlineLevel="0" collapsed="false">
      <c r="A51" s="4" t="s">
        <v>231</v>
      </c>
      <c r="B51" s="5" t="s">
        <v>232</v>
      </c>
      <c r="C51" s="31" t="s">
        <v>85</v>
      </c>
      <c r="D51" s="29" t="s">
        <v>206</v>
      </c>
      <c r="E51" s="8" t="s">
        <v>147</v>
      </c>
      <c r="F51" s="9" t="s">
        <v>21</v>
      </c>
      <c r="G51" s="10" t="s">
        <v>94</v>
      </c>
      <c r="H51" s="11" t="n">
        <v>42984</v>
      </c>
      <c r="I51" s="12" t="n">
        <v>138</v>
      </c>
      <c r="J51" s="13" t="n">
        <f aca="false">H51*I51</f>
        <v>5931792</v>
      </c>
      <c r="K51" s="14" t="s">
        <v>24</v>
      </c>
      <c r="L51" s="8" t="s">
        <v>89</v>
      </c>
      <c r="M51" s="15" t="s">
        <v>127</v>
      </c>
      <c r="N51" s="16" t="n">
        <v>1.6</v>
      </c>
      <c r="O51" s="38"/>
    </row>
    <row r="52" customFormat="false" ht="15" hidden="false" customHeight="false" outlineLevel="0" collapsed="false">
      <c r="A52" s="4" t="s">
        <v>233</v>
      </c>
      <c r="B52" s="5" t="s">
        <v>234</v>
      </c>
      <c r="C52" s="18" t="s">
        <v>30</v>
      </c>
      <c r="D52" s="19" t="s">
        <v>150</v>
      </c>
      <c r="E52" s="20" t="s">
        <v>32</v>
      </c>
      <c r="F52" s="21" t="s">
        <v>33</v>
      </c>
      <c r="G52" s="22" t="s">
        <v>235</v>
      </c>
      <c r="H52" s="23" t="n">
        <v>5798</v>
      </c>
      <c r="I52" s="24" t="n">
        <v>678</v>
      </c>
      <c r="J52" s="13" t="n">
        <f aca="false">H52*I52</f>
        <v>3931044</v>
      </c>
      <c r="K52" s="25" t="s">
        <v>35</v>
      </c>
      <c r="L52" s="20" t="s">
        <v>25</v>
      </c>
      <c r="M52" s="26" t="s">
        <v>46</v>
      </c>
      <c r="N52" s="27" t="n">
        <v>5.6</v>
      </c>
      <c r="O52" s="28" t="s">
        <v>236</v>
      </c>
    </row>
    <row r="53" customFormat="false" ht="15" hidden="false" customHeight="false" outlineLevel="0" collapsed="false">
      <c r="A53" s="4" t="s">
        <v>237</v>
      </c>
      <c r="B53" s="5" t="s">
        <v>238</v>
      </c>
      <c r="C53" s="30" t="s">
        <v>50</v>
      </c>
      <c r="D53" s="29" t="s">
        <v>116</v>
      </c>
      <c r="E53" s="8" t="s">
        <v>74</v>
      </c>
      <c r="F53" s="9" t="s">
        <v>239</v>
      </c>
      <c r="G53" s="10" t="s">
        <v>211</v>
      </c>
      <c r="H53" s="11" t="n">
        <v>863</v>
      </c>
      <c r="I53" s="12" t="n">
        <v>8525</v>
      </c>
      <c r="J53" s="13" t="n">
        <f aca="false">H53*I53</f>
        <v>7357075</v>
      </c>
      <c r="K53" s="14" t="s">
        <v>24</v>
      </c>
      <c r="L53" s="8" t="s">
        <v>216</v>
      </c>
      <c r="M53" s="15" t="s">
        <v>90</v>
      </c>
      <c r="N53" s="16" t="n">
        <v>13.3</v>
      </c>
      <c r="O53" s="28" t="s">
        <v>96</v>
      </c>
    </row>
    <row r="54" customFormat="false" ht="15" hidden="false" customHeight="false" outlineLevel="0" collapsed="false">
      <c r="A54" s="4" t="s">
        <v>240</v>
      </c>
      <c r="B54" s="5" t="s">
        <v>241</v>
      </c>
      <c r="C54" s="31" t="s">
        <v>85</v>
      </c>
      <c r="D54" s="19" t="s">
        <v>242</v>
      </c>
      <c r="E54" s="20" t="s">
        <v>81</v>
      </c>
      <c r="F54" s="21" t="s">
        <v>21</v>
      </c>
      <c r="G54" s="22" t="s">
        <v>243</v>
      </c>
      <c r="H54" s="23" t="n">
        <v>29540</v>
      </c>
      <c r="I54" s="24" t="n">
        <v>4317</v>
      </c>
      <c r="J54" s="13" t="n">
        <f aca="false">H54*I54</f>
        <v>127524180</v>
      </c>
      <c r="K54" s="25" t="s">
        <v>35</v>
      </c>
      <c r="L54" s="20" t="s">
        <v>193</v>
      </c>
      <c r="M54" s="26" t="s">
        <v>64</v>
      </c>
      <c r="N54" s="27" t="n">
        <v>1.7</v>
      </c>
      <c r="O54" s="28" t="s">
        <v>199</v>
      </c>
    </row>
    <row r="55" customFormat="false" ht="15" hidden="false" customHeight="false" outlineLevel="0" collapsed="false">
      <c r="A55" s="4" t="s">
        <v>244</v>
      </c>
      <c r="B55" s="5" t="s">
        <v>245</v>
      </c>
      <c r="C55" s="31" t="s">
        <v>85</v>
      </c>
      <c r="D55" s="29" t="s">
        <v>242</v>
      </c>
      <c r="E55" s="8" t="s">
        <v>81</v>
      </c>
      <c r="F55" s="9" t="s">
        <v>21</v>
      </c>
      <c r="G55" s="10" t="s">
        <v>246</v>
      </c>
      <c r="H55" s="11" t="n">
        <v>30336</v>
      </c>
      <c r="I55" s="12" t="n">
        <v>4554</v>
      </c>
      <c r="J55" s="13" t="n">
        <f aca="false">H55*I55</f>
        <v>138150144</v>
      </c>
      <c r="K55" s="36" t="s">
        <v>35</v>
      </c>
      <c r="L55" s="8" t="s">
        <v>119</v>
      </c>
      <c r="M55" s="15" t="s">
        <v>90</v>
      </c>
      <c r="N55" s="16" t="n">
        <v>2.4</v>
      </c>
      <c r="O55" s="28" t="s">
        <v>96</v>
      </c>
    </row>
    <row r="56" customFormat="false" ht="15" hidden="false" customHeight="false" outlineLevel="0" collapsed="false">
      <c r="A56" s="4" t="s">
        <v>247</v>
      </c>
      <c r="B56" s="5" t="s">
        <v>248</v>
      </c>
      <c r="C56" s="31" t="s">
        <v>85</v>
      </c>
      <c r="D56" s="34" t="s">
        <v>130</v>
      </c>
      <c r="E56" s="20" t="s">
        <v>147</v>
      </c>
      <c r="F56" s="21" t="s">
        <v>32</v>
      </c>
      <c r="G56" s="22" t="s">
        <v>243</v>
      </c>
      <c r="H56" s="23" t="n">
        <v>43205</v>
      </c>
      <c r="I56" s="24" t="n">
        <v>11.6</v>
      </c>
      <c r="J56" s="13" t="n">
        <f aca="false">H56*I56</f>
        <v>501178</v>
      </c>
      <c r="K56" s="25" t="s">
        <v>35</v>
      </c>
      <c r="L56" s="20" t="s">
        <v>193</v>
      </c>
      <c r="M56" s="26" t="s">
        <v>90</v>
      </c>
      <c r="N56" s="27" t="n">
        <v>1.5</v>
      </c>
      <c r="O56" s="28" t="s">
        <v>106</v>
      </c>
    </row>
    <row r="57" customFormat="false" ht="15" hidden="false" customHeight="false" outlineLevel="0" collapsed="false">
      <c r="A57" s="4" t="s">
        <v>249</v>
      </c>
      <c r="B57" s="5" t="s">
        <v>250</v>
      </c>
      <c r="C57" s="32" t="s">
        <v>122</v>
      </c>
      <c r="D57" s="29" t="s">
        <v>177</v>
      </c>
      <c r="E57" s="8" t="s">
        <v>147</v>
      </c>
      <c r="F57" s="9" t="s">
        <v>178</v>
      </c>
      <c r="G57" s="10" t="s">
        <v>198</v>
      </c>
      <c r="H57" s="11" t="n">
        <v>17161</v>
      </c>
      <c r="I57" s="12" t="n">
        <v>328</v>
      </c>
      <c r="J57" s="13" t="n">
        <f aca="false">H57*I57</f>
        <v>5628808</v>
      </c>
      <c r="K57" s="36" t="s">
        <v>35</v>
      </c>
      <c r="L57" s="8" t="s">
        <v>179</v>
      </c>
      <c r="M57" s="15" t="s">
        <v>90</v>
      </c>
      <c r="N57" s="16" t="n">
        <v>4.3</v>
      </c>
      <c r="O57" s="28" t="s">
        <v>101</v>
      </c>
    </row>
    <row r="58" customFormat="false" ht="15" hidden="false" customHeight="false" outlineLevel="0" collapsed="false">
      <c r="A58" s="4" t="s">
        <v>251</v>
      </c>
      <c r="B58" s="5" t="s">
        <v>252</v>
      </c>
      <c r="C58" s="30" t="s">
        <v>50</v>
      </c>
      <c r="D58" s="19" t="s">
        <v>51</v>
      </c>
      <c r="E58" s="20" t="s">
        <v>99</v>
      </c>
      <c r="F58" s="21" t="s">
        <v>239</v>
      </c>
      <c r="G58" s="22" t="s">
        <v>253</v>
      </c>
      <c r="H58" s="23" t="n">
        <v>429</v>
      </c>
      <c r="I58" s="24" t="n">
        <v>19270</v>
      </c>
      <c r="J58" s="13" t="n">
        <f aca="false">H58*I58</f>
        <v>8266830</v>
      </c>
      <c r="K58" s="14" t="s">
        <v>24</v>
      </c>
      <c r="L58" s="20" t="s">
        <v>216</v>
      </c>
      <c r="M58" s="26" t="s">
        <v>55</v>
      </c>
      <c r="N58" s="27" t="n">
        <v>10.9</v>
      </c>
      <c r="O58" s="28" t="s">
        <v>82</v>
      </c>
    </row>
    <row r="59" customFormat="false" ht="15" hidden="false" customHeight="false" outlineLevel="0" collapsed="false">
      <c r="A59" s="4" t="s">
        <v>254</v>
      </c>
      <c r="B59" s="5" t="s">
        <v>255</v>
      </c>
      <c r="C59" s="18" t="s">
        <v>30</v>
      </c>
      <c r="D59" s="29" t="s">
        <v>59</v>
      </c>
      <c r="E59" s="8" t="s">
        <v>21</v>
      </c>
      <c r="F59" s="9" t="s">
        <v>22</v>
      </c>
      <c r="G59" s="10" t="s">
        <v>34</v>
      </c>
      <c r="H59" s="11" t="n">
        <v>2233</v>
      </c>
      <c r="I59" s="12" t="n">
        <v>1176</v>
      </c>
      <c r="J59" s="13" t="n">
        <f aca="false">H59*I59</f>
        <v>2626008</v>
      </c>
      <c r="K59" s="14" t="s">
        <v>24</v>
      </c>
      <c r="L59" s="8" t="s">
        <v>81</v>
      </c>
      <c r="M59" s="15" t="s">
        <v>55</v>
      </c>
      <c r="N59" s="16" t="n">
        <v>6.2</v>
      </c>
      <c r="O59" s="28" t="s">
        <v>101</v>
      </c>
    </row>
    <row r="60" customFormat="false" ht="15" hidden="false" customHeight="false" outlineLevel="0" collapsed="false">
      <c r="A60" s="4" t="s">
        <v>256</v>
      </c>
      <c r="B60" s="5" t="s">
        <v>257</v>
      </c>
      <c r="C60" s="32" t="s">
        <v>122</v>
      </c>
      <c r="D60" s="19" t="s">
        <v>202</v>
      </c>
      <c r="E60" s="20" t="s">
        <v>22</v>
      </c>
      <c r="F60" s="21" t="s">
        <v>32</v>
      </c>
      <c r="G60" s="39" t="s">
        <v>125</v>
      </c>
      <c r="H60" s="23" t="n">
        <v>9893</v>
      </c>
      <c r="I60" s="24" t="n">
        <v>603</v>
      </c>
      <c r="J60" s="13" t="n">
        <f aca="false">H60*I60</f>
        <v>5965479</v>
      </c>
      <c r="K60" s="25" t="s">
        <v>35</v>
      </c>
      <c r="L60" s="20" t="s">
        <v>143</v>
      </c>
      <c r="M60" s="26" t="s">
        <v>26</v>
      </c>
      <c r="N60" s="27" t="n">
        <v>3.2</v>
      </c>
      <c r="O60" s="28" t="s">
        <v>236</v>
      </c>
    </row>
    <row r="61" customFormat="false" ht="15" hidden="false" customHeight="false" outlineLevel="0" collapsed="false">
      <c r="A61" s="4" t="s">
        <v>258</v>
      </c>
      <c r="B61" s="5" t="s">
        <v>259</v>
      </c>
      <c r="C61" s="32" t="s">
        <v>122</v>
      </c>
      <c r="D61" s="29" t="s">
        <v>177</v>
      </c>
      <c r="E61" s="8" t="s">
        <v>260</v>
      </c>
      <c r="F61" s="9" t="s">
        <v>32</v>
      </c>
      <c r="G61" s="10" t="s">
        <v>261</v>
      </c>
      <c r="H61" s="11" t="n">
        <v>19705</v>
      </c>
      <c r="I61" s="12" t="n">
        <v>338</v>
      </c>
      <c r="J61" s="13" t="n">
        <f aca="false">H61*I61</f>
        <v>6660290</v>
      </c>
      <c r="K61" s="14" t="s">
        <v>24</v>
      </c>
      <c r="L61" s="8" t="s">
        <v>179</v>
      </c>
      <c r="M61" s="15" t="s">
        <v>37</v>
      </c>
      <c r="N61" s="16" t="n">
        <v>2.9</v>
      </c>
      <c r="O61" s="28" t="s">
        <v>174</v>
      </c>
    </row>
    <row r="62" customFormat="false" ht="15" hidden="false" customHeight="false" outlineLevel="0" collapsed="false">
      <c r="A62" s="4" t="s">
        <v>262</v>
      </c>
      <c r="B62" s="5" t="s">
        <v>263</v>
      </c>
      <c r="C62" s="18" t="s">
        <v>30</v>
      </c>
      <c r="D62" s="19" t="s">
        <v>59</v>
      </c>
      <c r="E62" s="20" t="s">
        <v>21</v>
      </c>
      <c r="F62" s="21" t="s">
        <v>109</v>
      </c>
      <c r="G62" s="22" t="s">
        <v>69</v>
      </c>
      <c r="H62" s="23" t="n">
        <v>5820</v>
      </c>
      <c r="I62" s="24" t="n">
        <v>1090</v>
      </c>
      <c r="J62" s="13" t="n">
        <f aca="false">H62*I62</f>
        <v>6343800</v>
      </c>
      <c r="K62" s="14" t="s">
        <v>24</v>
      </c>
      <c r="L62" s="20" t="s">
        <v>264</v>
      </c>
      <c r="M62" s="26" t="s">
        <v>26</v>
      </c>
      <c r="N62" s="27" t="n">
        <v>5.7</v>
      </c>
      <c r="O62" s="28" t="s">
        <v>82</v>
      </c>
    </row>
    <row r="63" customFormat="false" ht="15" hidden="false" customHeight="false" outlineLevel="0" collapsed="false">
      <c r="A63" s="4" t="s">
        <v>265</v>
      </c>
      <c r="B63" s="5" t="s">
        <v>266</v>
      </c>
      <c r="C63" s="6" t="s">
        <v>19</v>
      </c>
      <c r="D63" s="7" t="s">
        <v>20</v>
      </c>
      <c r="E63" s="8" t="s">
        <v>158</v>
      </c>
      <c r="F63" s="9" t="s">
        <v>21</v>
      </c>
      <c r="G63" s="10" t="s">
        <v>267</v>
      </c>
      <c r="H63" s="11" t="n">
        <v>4495</v>
      </c>
      <c r="I63" s="12" t="n">
        <v>1090</v>
      </c>
      <c r="J63" s="13" t="n">
        <f aca="false">H63*I63</f>
        <v>4899550</v>
      </c>
      <c r="K63" s="36" t="s">
        <v>35</v>
      </c>
      <c r="L63" s="8" t="s">
        <v>119</v>
      </c>
      <c r="M63" s="15" t="s">
        <v>127</v>
      </c>
      <c r="N63" s="16" t="n">
        <v>4.9</v>
      </c>
      <c r="O63" s="28" t="s">
        <v>199</v>
      </c>
    </row>
    <row r="64" customFormat="false" ht="15" hidden="false" customHeight="false" outlineLevel="0" collapsed="false">
      <c r="A64" s="4" t="s">
        <v>268</v>
      </c>
      <c r="B64" s="5" t="s">
        <v>269</v>
      </c>
      <c r="C64" s="18" t="s">
        <v>30</v>
      </c>
      <c r="D64" s="19" t="s">
        <v>59</v>
      </c>
      <c r="E64" s="20" t="s">
        <v>60</v>
      </c>
      <c r="F64" s="40" t="s">
        <v>222</v>
      </c>
      <c r="G64" s="22" t="s">
        <v>235</v>
      </c>
      <c r="H64" s="23" t="n">
        <v>5153</v>
      </c>
      <c r="I64" s="24" t="n">
        <v>1146</v>
      </c>
      <c r="J64" s="13" t="n">
        <f aca="false">H64*I64</f>
        <v>5905338</v>
      </c>
      <c r="K64" s="14" t="s">
        <v>24</v>
      </c>
      <c r="L64" s="20" t="s">
        <v>36</v>
      </c>
      <c r="M64" s="26" t="s">
        <v>37</v>
      </c>
      <c r="N64" s="27" t="n">
        <v>5.8</v>
      </c>
      <c r="O64" s="28" t="s">
        <v>101</v>
      </c>
    </row>
    <row r="65" customFormat="false" ht="15" hidden="false" customHeight="false" outlineLevel="0" collapsed="false">
      <c r="A65" s="4" t="s">
        <v>270</v>
      </c>
      <c r="B65" s="5" t="s">
        <v>271</v>
      </c>
      <c r="C65" s="31" t="s">
        <v>85</v>
      </c>
      <c r="D65" s="29" t="s">
        <v>242</v>
      </c>
      <c r="E65" s="8" t="s">
        <v>147</v>
      </c>
      <c r="F65" s="9" t="s">
        <v>21</v>
      </c>
      <c r="G65" s="10" t="s">
        <v>243</v>
      </c>
      <c r="H65" s="11" t="n">
        <v>50906</v>
      </c>
      <c r="I65" s="12" t="n">
        <v>4318</v>
      </c>
      <c r="J65" s="13" t="n">
        <f aca="false">H65*I65</f>
        <v>219812108</v>
      </c>
      <c r="K65" s="14" t="s">
        <v>24</v>
      </c>
      <c r="L65" s="8" t="s">
        <v>89</v>
      </c>
      <c r="M65" s="15" t="s">
        <v>46</v>
      </c>
      <c r="N65" s="16" t="n">
        <v>2.8</v>
      </c>
      <c r="O65" s="28" t="s">
        <v>96</v>
      </c>
    </row>
    <row r="66" customFormat="false" ht="15" hidden="false" customHeight="false" outlineLevel="0" collapsed="false">
      <c r="A66" s="4" t="s">
        <v>272</v>
      </c>
      <c r="B66" s="5" t="s">
        <v>273</v>
      </c>
      <c r="C66" s="30" t="s">
        <v>50</v>
      </c>
      <c r="D66" s="19" t="s">
        <v>116</v>
      </c>
      <c r="E66" s="20" t="s">
        <v>99</v>
      </c>
      <c r="F66" s="21" t="s">
        <v>52</v>
      </c>
      <c r="G66" s="22" t="s">
        <v>215</v>
      </c>
      <c r="H66" s="23" t="n">
        <v>574</v>
      </c>
      <c r="I66" s="24" t="n">
        <v>8590</v>
      </c>
      <c r="J66" s="13" t="n">
        <f aca="false">H66*I66</f>
        <v>4930660</v>
      </c>
      <c r="K66" s="25" t="s">
        <v>35</v>
      </c>
      <c r="L66" s="20" t="s">
        <v>25</v>
      </c>
      <c r="M66" s="26" t="s">
        <v>26</v>
      </c>
      <c r="N66" s="27" t="n">
        <v>10.2</v>
      </c>
      <c r="O66" s="28" t="s">
        <v>274</v>
      </c>
    </row>
    <row r="67" customFormat="false" ht="15" hidden="false" customHeight="false" outlineLevel="0" collapsed="false">
      <c r="A67" s="4" t="s">
        <v>275</v>
      </c>
      <c r="B67" s="5" t="s">
        <v>276</v>
      </c>
      <c r="C67" s="30" t="s">
        <v>50</v>
      </c>
      <c r="D67" s="29" t="s">
        <v>277</v>
      </c>
      <c r="E67" s="8" t="s">
        <v>74</v>
      </c>
      <c r="F67" s="9" t="s">
        <v>43</v>
      </c>
      <c r="G67" s="10" t="s">
        <v>69</v>
      </c>
      <c r="H67" s="11" t="n">
        <v>643</v>
      </c>
      <c r="I67" s="12" t="n">
        <v>32728</v>
      </c>
      <c r="J67" s="13" t="n">
        <f aca="false">H67*I67</f>
        <v>21044104</v>
      </c>
      <c r="K67" s="36" t="s">
        <v>35</v>
      </c>
      <c r="L67" s="8" t="s">
        <v>54</v>
      </c>
      <c r="M67" s="15" t="s">
        <v>26</v>
      </c>
      <c r="N67" s="16" t="n">
        <v>11</v>
      </c>
      <c r="O67" s="28" t="s">
        <v>82</v>
      </c>
    </row>
    <row r="68" customFormat="false" ht="15" hidden="false" customHeight="false" outlineLevel="0" collapsed="false">
      <c r="A68" s="4" t="s">
        <v>278</v>
      </c>
      <c r="B68" s="5" t="s">
        <v>279</v>
      </c>
      <c r="C68" s="18" t="s">
        <v>30</v>
      </c>
      <c r="D68" s="19" t="s">
        <v>67</v>
      </c>
      <c r="E68" s="20" t="s">
        <v>32</v>
      </c>
      <c r="F68" s="21" t="s">
        <v>210</v>
      </c>
      <c r="G68" s="22" t="s">
        <v>230</v>
      </c>
      <c r="H68" s="23" t="n">
        <v>5570</v>
      </c>
      <c r="I68" s="24" t="n">
        <v>2236</v>
      </c>
      <c r="J68" s="13" t="n">
        <f aca="false">H68*I68</f>
        <v>12454520</v>
      </c>
      <c r="K68" s="14" t="s">
        <v>24</v>
      </c>
      <c r="L68" s="20" t="s">
        <v>113</v>
      </c>
      <c r="M68" s="26" t="s">
        <v>55</v>
      </c>
      <c r="N68" s="27" t="n">
        <v>6.9</v>
      </c>
      <c r="O68" s="28" t="s">
        <v>38</v>
      </c>
    </row>
    <row r="69" customFormat="false" ht="15" hidden="false" customHeight="false" outlineLevel="0" collapsed="false">
      <c r="A69" s="4" t="s">
        <v>280</v>
      </c>
      <c r="B69" s="5" t="s">
        <v>281</v>
      </c>
      <c r="C69" s="6" t="s">
        <v>19</v>
      </c>
      <c r="D69" s="29" t="s">
        <v>282</v>
      </c>
      <c r="E69" s="8" t="s">
        <v>21</v>
      </c>
      <c r="F69" s="9" t="s">
        <v>33</v>
      </c>
      <c r="G69" s="10" t="s">
        <v>283</v>
      </c>
      <c r="H69" s="11" t="n">
        <v>5839</v>
      </c>
      <c r="I69" s="12" t="n">
        <v>2400</v>
      </c>
      <c r="J69" s="13" t="n">
        <f aca="false">H69*I69</f>
        <v>14013600</v>
      </c>
      <c r="K69" s="14" t="s">
        <v>24</v>
      </c>
      <c r="L69" s="8" t="s">
        <v>119</v>
      </c>
      <c r="M69" s="15" t="s">
        <v>55</v>
      </c>
      <c r="N69" s="16" t="n">
        <v>4.9</v>
      </c>
      <c r="O69" s="28" t="s">
        <v>96</v>
      </c>
    </row>
    <row r="70" customFormat="false" ht="15" hidden="false" customHeight="false" outlineLevel="0" collapsed="false">
      <c r="A70" s="4" t="s">
        <v>284</v>
      </c>
      <c r="B70" s="5" t="s">
        <v>285</v>
      </c>
      <c r="C70" s="32" t="s">
        <v>122</v>
      </c>
      <c r="D70" s="19" t="s">
        <v>134</v>
      </c>
      <c r="E70" s="20" t="s">
        <v>99</v>
      </c>
      <c r="F70" s="21" t="s">
        <v>286</v>
      </c>
      <c r="G70" s="22" t="s">
        <v>142</v>
      </c>
      <c r="H70" s="23" t="n">
        <v>16612</v>
      </c>
      <c r="I70" s="24" t="n">
        <v>271</v>
      </c>
      <c r="J70" s="13" t="n">
        <f aca="false">H70*I70</f>
        <v>4501852</v>
      </c>
      <c r="K70" s="14" t="s">
        <v>24</v>
      </c>
      <c r="L70" s="20" t="s">
        <v>36</v>
      </c>
      <c r="M70" s="26" t="s">
        <v>46</v>
      </c>
      <c r="N70" s="27" t="n">
        <v>4</v>
      </c>
      <c r="O70" s="28" t="s">
        <v>38</v>
      </c>
    </row>
    <row r="71" customFormat="false" ht="15" hidden="false" customHeight="false" outlineLevel="0" collapsed="false">
      <c r="A71" s="4" t="s">
        <v>287</v>
      </c>
      <c r="B71" s="5" t="s">
        <v>288</v>
      </c>
      <c r="C71" s="18" t="s">
        <v>30</v>
      </c>
      <c r="D71" s="29" t="s">
        <v>67</v>
      </c>
      <c r="E71" s="8" t="s">
        <v>42</v>
      </c>
      <c r="F71" s="37" t="s">
        <v>222</v>
      </c>
      <c r="G71" s="10" t="s">
        <v>34</v>
      </c>
      <c r="H71" s="11" t="n">
        <v>3434</v>
      </c>
      <c r="I71" s="12" t="n">
        <v>2143</v>
      </c>
      <c r="J71" s="13" t="n">
        <f aca="false">H71*I71</f>
        <v>7359062</v>
      </c>
      <c r="K71" s="36" t="s">
        <v>35</v>
      </c>
      <c r="L71" s="8" t="s">
        <v>70</v>
      </c>
      <c r="M71" s="15" t="s">
        <v>127</v>
      </c>
      <c r="N71" s="16" t="n">
        <v>6.2</v>
      </c>
      <c r="O71" s="28" t="s">
        <v>38</v>
      </c>
    </row>
    <row r="72" customFormat="false" ht="15" hidden="false" customHeight="false" outlineLevel="0" collapsed="false">
      <c r="A72" s="4" t="s">
        <v>289</v>
      </c>
      <c r="B72" s="5" t="s">
        <v>290</v>
      </c>
      <c r="C72" s="30" t="s">
        <v>50</v>
      </c>
      <c r="D72" s="19" t="s">
        <v>73</v>
      </c>
      <c r="E72" s="20" t="s">
        <v>99</v>
      </c>
      <c r="F72" s="21" t="s">
        <v>214</v>
      </c>
      <c r="G72" s="22" t="s">
        <v>291</v>
      </c>
      <c r="H72" s="23" t="n">
        <v>283</v>
      </c>
      <c r="I72" s="24" t="n">
        <v>18094</v>
      </c>
      <c r="J72" s="13" t="n">
        <f aca="false">H72*I72</f>
        <v>5120602</v>
      </c>
      <c r="K72" s="14" t="s">
        <v>24</v>
      </c>
      <c r="L72" s="20" t="s">
        <v>292</v>
      </c>
      <c r="M72" s="26" t="s">
        <v>151</v>
      </c>
      <c r="N72" s="27" t="n">
        <v>10.5</v>
      </c>
      <c r="O72" s="28" t="s">
        <v>91</v>
      </c>
    </row>
    <row r="73" customFormat="false" ht="15" hidden="false" customHeight="false" outlineLevel="0" collapsed="false">
      <c r="A73" s="4" t="s">
        <v>293</v>
      </c>
      <c r="B73" s="5" t="s">
        <v>294</v>
      </c>
      <c r="C73" s="18" t="s">
        <v>30</v>
      </c>
      <c r="D73" s="29" t="s">
        <v>150</v>
      </c>
      <c r="E73" s="8" t="s">
        <v>42</v>
      </c>
      <c r="F73" s="9" t="s">
        <v>104</v>
      </c>
      <c r="G73" s="10" t="s">
        <v>34</v>
      </c>
      <c r="H73" s="11" t="n">
        <v>2043</v>
      </c>
      <c r="I73" s="12" t="n">
        <v>693</v>
      </c>
      <c r="J73" s="13" t="n">
        <f aca="false">H73*I73</f>
        <v>1415799</v>
      </c>
      <c r="K73" s="14" t="s">
        <v>24</v>
      </c>
      <c r="L73" s="8" t="s">
        <v>70</v>
      </c>
      <c r="M73" s="15" t="s">
        <v>151</v>
      </c>
      <c r="N73" s="16" t="n">
        <v>7.1</v>
      </c>
      <c r="O73" s="28" t="s">
        <v>106</v>
      </c>
    </row>
    <row r="74" customFormat="false" ht="15" hidden="false" customHeight="false" outlineLevel="0" collapsed="false">
      <c r="A74" s="4" t="s">
        <v>295</v>
      </c>
      <c r="B74" s="5" t="s">
        <v>296</v>
      </c>
      <c r="C74" s="30" t="s">
        <v>50</v>
      </c>
      <c r="D74" s="19" t="s">
        <v>51</v>
      </c>
      <c r="E74" s="20" t="s">
        <v>21</v>
      </c>
      <c r="F74" s="21" t="s">
        <v>210</v>
      </c>
      <c r="G74" s="22" t="s">
        <v>297</v>
      </c>
      <c r="H74" s="23" t="n">
        <v>307</v>
      </c>
      <c r="I74" s="24" t="n">
        <v>18313</v>
      </c>
      <c r="J74" s="13" t="n">
        <f aca="false">H74*I74</f>
        <v>5622091</v>
      </c>
      <c r="K74" s="25" t="s">
        <v>35</v>
      </c>
      <c r="L74" s="20" t="s">
        <v>298</v>
      </c>
      <c r="M74" s="26" t="s">
        <v>127</v>
      </c>
      <c r="N74" s="27" t="n">
        <v>9.7</v>
      </c>
      <c r="O74" s="17" t="s">
        <v>27</v>
      </c>
    </row>
    <row r="75" customFormat="false" ht="15" hidden="false" customHeight="false" outlineLevel="0" collapsed="false">
      <c r="A75" s="4" t="s">
        <v>299</v>
      </c>
      <c r="B75" s="5" t="s">
        <v>300</v>
      </c>
      <c r="C75" s="30" t="s">
        <v>50</v>
      </c>
      <c r="D75" s="29" t="s">
        <v>73</v>
      </c>
      <c r="E75" s="8" t="s">
        <v>147</v>
      </c>
      <c r="F75" s="9" t="s">
        <v>214</v>
      </c>
      <c r="G75" s="10" t="s">
        <v>211</v>
      </c>
      <c r="H75" s="11" t="n">
        <v>244</v>
      </c>
      <c r="I75" s="12" t="n">
        <v>18353</v>
      </c>
      <c r="J75" s="13" t="n">
        <f aca="false">H75*I75</f>
        <v>4478132</v>
      </c>
      <c r="K75" s="36" t="s">
        <v>35</v>
      </c>
      <c r="L75" s="8" t="s">
        <v>76</v>
      </c>
      <c r="M75" s="15" t="s">
        <v>64</v>
      </c>
      <c r="N75" s="16" t="n">
        <v>8.8</v>
      </c>
      <c r="O75" s="28" t="s">
        <v>91</v>
      </c>
    </row>
    <row r="76" customFormat="false" ht="15" hidden="false" customHeight="false" outlineLevel="0" collapsed="false">
      <c r="A76" s="4" t="s">
        <v>301</v>
      </c>
      <c r="B76" s="5" t="s">
        <v>302</v>
      </c>
      <c r="C76" s="30" t="s">
        <v>50</v>
      </c>
      <c r="D76" s="19" t="s">
        <v>73</v>
      </c>
      <c r="E76" s="20" t="s">
        <v>32</v>
      </c>
      <c r="F76" s="21" t="s">
        <v>239</v>
      </c>
      <c r="G76" s="22" t="s">
        <v>69</v>
      </c>
      <c r="H76" s="23" t="n">
        <v>716</v>
      </c>
      <c r="I76" s="24" t="n">
        <v>18198</v>
      </c>
      <c r="J76" s="13" t="n">
        <f aca="false">H76*I76</f>
        <v>13029768</v>
      </c>
      <c r="K76" s="14" t="s">
        <v>24</v>
      </c>
      <c r="L76" s="20" t="s">
        <v>216</v>
      </c>
      <c r="M76" s="26" t="s">
        <v>64</v>
      </c>
      <c r="N76" s="27" t="n">
        <v>9</v>
      </c>
      <c r="O76" s="28" t="s">
        <v>96</v>
      </c>
    </row>
    <row r="77" customFormat="false" ht="15" hidden="false" customHeight="false" outlineLevel="0" collapsed="false">
      <c r="A77" s="4" t="s">
        <v>303</v>
      </c>
      <c r="B77" s="5" t="s">
        <v>304</v>
      </c>
      <c r="C77" s="31" t="s">
        <v>85</v>
      </c>
      <c r="D77" s="29" t="s">
        <v>206</v>
      </c>
      <c r="E77" s="8" t="s">
        <v>147</v>
      </c>
      <c r="F77" s="9" t="s">
        <v>32</v>
      </c>
      <c r="G77" s="10" t="s">
        <v>100</v>
      </c>
      <c r="H77" s="11" t="n">
        <v>53752</v>
      </c>
      <c r="I77" s="12" t="n">
        <v>134</v>
      </c>
      <c r="J77" s="13" t="n">
        <f aca="false">H77*I77</f>
        <v>7202768</v>
      </c>
      <c r="K77" s="14" t="s">
        <v>24</v>
      </c>
      <c r="L77" s="8" t="s">
        <v>193</v>
      </c>
      <c r="M77" s="15" t="s">
        <v>151</v>
      </c>
      <c r="N77" s="16" t="n">
        <v>1.8</v>
      </c>
      <c r="O77" s="28" t="s">
        <v>91</v>
      </c>
    </row>
    <row r="78" customFormat="false" ht="15" hidden="false" customHeight="false" outlineLevel="0" collapsed="false">
      <c r="A78" s="4" t="s">
        <v>305</v>
      </c>
      <c r="B78" s="5" t="s">
        <v>306</v>
      </c>
      <c r="C78" s="18" t="s">
        <v>30</v>
      </c>
      <c r="D78" s="19" t="s">
        <v>79</v>
      </c>
      <c r="E78" s="20" t="s">
        <v>42</v>
      </c>
      <c r="F78" s="21" t="s">
        <v>43</v>
      </c>
      <c r="G78" s="22" t="s">
        <v>230</v>
      </c>
      <c r="H78" s="23" t="n">
        <v>6238</v>
      </c>
      <c r="I78" s="24" t="n">
        <v>732</v>
      </c>
      <c r="J78" s="13" t="n">
        <f aca="false">H78*I78</f>
        <v>4566216</v>
      </c>
      <c r="K78" s="14" t="s">
        <v>24</v>
      </c>
      <c r="L78" s="20" t="s">
        <v>170</v>
      </c>
      <c r="M78" s="26" t="s">
        <v>37</v>
      </c>
      <c r="N78" s="27" t="n">
        <v>7.6</v>
      </c>
      <c r="O78" s="28" t="s">
        <v>38</v>
      </c>
    </row>
    <row r="79" customFormat="false" ht="15" hidden="false" customHeight="false" outlineLevel="0" collapsed="false">
      <c r="A79" s="4" t="s">
        <v>307</v>
      </c>
      <c r="B79" s="5" t="s">
        <v>308</v>
      </c>
      <c r="C79" s="30" t="s">
        <v>50</v>
      </c>
      <c r="D79" s="29" t="s">
        <v>67</v>
      </c>
      <c r="E79" s="8" t="s">
        <v>99</v>
      </c>
      <c r="F79" s="9" t="s">
        <v>214</v>
      </c>
      <c r="G79" s="10" t="s">
        <v>291</v>
      </c>
      <c r="H79" s="11" t="n">
        <v>719</v>
      </c>
      <c r="I79" s="12" t="n">
        <v>2242</v>
      </c>
      <c r="J79" s="13" t="n">
        <f aca="false">H79*I79</f>
        <v>1611998</v>
      </c>
      <c r="K79" s="14" t="s">
        <v>24</v>
      </c>
      <c r="L79" s="8" t="s">
        <v>309</v>
      </c>
      <c r="M79" s="15" t="s">
        <v>26</v>
      </c>
      <c r="N79" s="16" t="n">
        <v>10.6</v>
      </c>
      <c r="O79" s="28" t="s">
        <v>162</v>
      </c>
    </row>
    <row r="80" customFormat="false" ht="15" hidden="false" customHeight="false" outlineLevel="0" collapsed="false">
      <c r="A80" s="4" t="s">
        <v>310</v>
      </c>
      <c r="B80" s="5" t="s">
        <v>311</v>
      </c>
      <c r="C80" s="31" t="s">
        <v>85</v>
      </c>
      <c r="D80" s="19" t="s">
        <v>242</v>
      </c>
      <c r="E80" s="20" t="s">
        <v>312</v>
      </c>
      <c r="F80" s="21" t="s">
        <v>60</v>
      </c>
      <c r="G80" s="22" t="s">
        <v>88</v>
      </c>
      <c r="H80" s="23" t="n">
        <v>59217</v>
      </c>
      <c r="I80" s="24" t="n">
        <v>4306</v>
      </c>
      <c r="J80" s="13" t="n">
        <f aca="false">H80*I80</f>
        <v>254988402</v>
      </c>
      <c r="K80" s="14" t="s">
        <v>24</v>
      </c>
      <c r="L80" s="20" t="s">
        <v>119</v>
      </c>
      <c r="M80" s="26" t="s">
        <v>64</v>
      </c>
      <c r="N80" s="27" t="n">
        <v>1.6</v>
      </c>
      <c r="O80" s="28" t="s">
        <v>274</v>
      </c>
    </row>
    <row r="81" customFormat="false" ht="15" hidden="false" customHeight="false" outlineLevel="0" collapsed="false">
      <c r="A81" s="4" t="s">
        <v>313</v>
      </c>
      <c r="B81" s="5" t="s">
        <v>314</v>
      </c>
      <c r="C81" s="18" t="s">
        <v>30</v>
      </c>
      <c r="D81" s="29" t="s">
        <v>150</v>
      </c>
      <c r="E81" s="8" t="s">
        <v>42</v>
      </c>
      <c r="F81" s="37" t="s">
        <v>222</v>
      </c>
      <c r="G81" s="10" t="s">
        <v>219</v>
      </c>
      <c r="H81" s="11" t="n">
        <v>2505</v>
      </c>
      <c r="I81" s="12" t="n">
        <v>690</v>
      </c>
      <c r="J81" s="13" t="n">
        <f aca="false">H81*I81</f>
        <v>1728450</v>
      </c>
      <c r="K81" s="14" t="s">
        <v>24</v>
      </c>
      <c r="L81" s="8" t="s">
        <v>165</v>
      </c>
      <c r="M81" s="15" t="s">
        <v>127</v>
      </c>
      <c r="N81" s="16" t="n">
        <v>5.7</v>
      </c>
      <c r="O81" s="28" t="s">
        <v>106</v>
      </c>
    </row>
    <row r="82" customFormat="false" ht="15" hidden="false" customHeight="false" outlineLevel="0" collapsed="false">
      <c r="A82" s="4" t="s">
        <v>315</v>
      </c>
      <c r="B82" s="5" t="s">
        <v>316</v>
      </c>
      <c r="C82" s="31" t="s">
        <v>85</v>
      </c>
      <c r="D82" s="34" t="s">
        <v>130</v>
      </c>
      <c r="E82" s="20" t="s">
        <v>87</v>
      </c>
      <c r="F82" s="21" t="s">
        <v>131</v>
      </c>
      <c r="G82" s="22" t="s">
        <v>246</v>
      </c>
      <c r="H82" s="23" t="n">
        <v>46658</v>
      </c>
      <c r="I82" s="24" t="n">
        <v>12</v>
      </c>
      <c r="J82" s="13" t="n">
        <f aca="false">H82*I82</f>
        <v>559896</v>
      </c>
      <c r="K82" s="14" t="s">
        <v>24</v>
      </c>
      <c r="L82" s="20" t="s">
        <v>119</v>
      </c>
      <c r="M82" s="26" t="s">
        <v>26</v>
      </c>
      <c r="N82" s="27" t="n">
        <v>1.5</v>
      </c>
      <c r="O82" s="17" t="s">
        <v>27</v>
      </c>
    </row>
    <row r="83" customFormat="false" ht="15" hidden="false" customHeight="false" outlineLevel="0" collapsed="false">
      <c r="A83" s="4" t="s">
        <v>317</v>
      </c>
      <c r="B83" s="5" t="s">
        <v>318</v>
      </c>
      <c r="C83" s="30" t="s">
        <v>50</v>
      </c>
      <c r="D83" s="29" t="s">
        <v>67</v>
      </c>
      <c r="E83" s="8" t="s">
        <v>147</v>
      </c>
      <c r="F83" s="9" t="s">
        <v>32</v>
      </c>
      <c r="G83" s="10" t="s">
        <v>53</v>
      </c>
      <c r="H83" s="11" t="n">
        <v>225</v>
      </c>
      <c r="I83" s="12" t="n">
        <v>2271</v>
      </c>
      <c r="J83" s="13" t="n">
        <f aca="false">H83*I83</f>
        <v>510975</v>
      </c>
      <c r="K83" s="36" t="s">
        <v>35</v>
      </c>
      <c r="L83" s="8" t="s">
        <v>319</v>
      </c>
      <c r="M83" s="15" t="s">
        <v>151</v>
      </c>
      <c r="N83" s="16" t="n">
        <v>12.8</v>
      </c>
      <c r="O83" s="17" t="s">
        <v>27</v>
      </c>
    </row>
    <row r="84" customFormat="false" ht="15" hidden="false" customHeight="false" outlineLevel="0" collapsed="false">
      <c r="A84" s="4" t="s">
        <v>320</v>
      </c>
      <c r="B84" s="5" t="s">
        <v>321</v>
      </c>
      <c r="C84" s="31" t="s">
        <v>85</v>
      </c>
      <c r="D84" s="19" t="s">
        <v>86</v>
      </c>
      <c r="E84" s="20" t="s">
        <v>312</v>
      </c>
      <c r="F84" s="21" t="s">
        <v>32</v>
      </c>
      <c r="G84" s="22" t="s">
        <v>322</v>
      </c>
      <c r="H84" s="23" t="n">
        <v>57965</v>
      </c>
      <c r="I84" s="24" t="n">
        <v>90.1</v>
      </c>
      <c r="J84" s="13" t="n">
        <f aca="false">H84*I84</f>
        <v>5222646.5</v>
      </c>
      <c r="K84" s="25" t="s">
        <v>35</v>
      </c>
      <c r="L84" s="20" t="s">
        <v>119</v>
      </c>
      <c r="M84" s="26" t="s">
        <v>64</v>
      </c>
      <c r="N84" s="27" t="n">
        <v>2.4</v>
      </c>
      <c r="O84" s="28" t="s">
        <v>101</v>
      </c>
    </row>
    <row r="85" customFormat="false" ht="15" hidden="false" customHeight="false" outlineLevel="0" collapsed="false">
      <c r="A85" s="4" t="s">
        <v>323</v>
      </c>
      <c r="B85" s="5" t="s">
        <v>324</v>
      </c>
      <c r="C85" s="31" t="s">
        <v>85</v>
      </c>
      <c r="D85" s="29" t="s">
        <v>206</v>
      </c>
      <c r="E85" s="8" t="s">
        <v>22</v>
      </c>
      <c r="F85" s="9" t="s">
        <v>21</v>
      </c>
      <c r="G85" s="10" t="s">
        <v>88</v>
      </c>
      <c r="H85" s="11" t="n">
        <v>31379</v>
      </c>
      <c r="I85" s="12" t="n">
        <v>143</v>
      </c>
      <c r="J85" s="13" t="n">
        <f aca="false">H85*I85</f>
        <v>4487197</v>
      </c>
      <c r="K85" s="14" t="s">
        <v>24</v>
      </c>
      <c r="L85" s="8" t="s">
        <v>193</v>
      </c>
      <c r="M85" s="15" t="s">
        <v>64</v>
      </c>
      <c r="N85" s="16" t="n">
        <v>2.2</v>
      </c>
      <c r="O85" s="28" t="s">
        <v>199</v>
      </c>
    </row>
    <row r="86" customFormat="false" ht="15" hidden="false" customHeight="false" outlineLevel="0" collapsed="false">
      <c r="A86" s="4" t="s">
        <v>325</v>
      </c>
      <c r="B86" s="5" t="s">
        <v>326</v>
      </c>
      <c r="C86" s="18" t="s">
        <v>30</v>
      </c>
      <c r="D86" s="19" t="s">
        <v>31</v>
      </c>
      <c r="E86" s="20" t="s">
        <v>21</v>
      </c>
      <c r="F86" s="21" t="s">
        <v>81</v>
      </c>
      <c r="G86" s="22" t="s">
        <v>190</v>
      </c>
      <c r="H86" s="23" t="n">
        <v>2047</v>
      </c>
      <c r="I86" s="24" t="n">
        <v>916</v>
      </c>
      <c r="J86" s="13" t="n">
        <f aca="false">H86*I86</f>
        <v>1875052</v>
      </c>
      <c r="K86" s="14" t="s">
        <v>24</v>
      </c>
      <c r="L86" s="20" t="s">
        <v>70</v>
      </c>
      <c r="M86" s="26" t="s">
        <v>64</v>
      </c>
      <c r="N86" s="27" t="n">
        <v>7.9</v>
      </c>
      <c r="O86" s="28" t="s">
        <v>82</v>
      </c>
    </row>
    <row r="87" customFormat="false" ht="15" hidden="false" customHeight="false" outlineLevel="0" collapsed="false">
      <c r="A87" s="4" t="s">
        <v>327</v>
      </c>
      <c r="B87" s="5" t="s">
        <v>328</v>
      </c>
      <c r="C87" s="18" t="s">
        <v>30</v>
      </c>
      <c r="D87" s="29" t="s">
        <v>59</v>
      </c>
      <c r="E87" s="8" t="s">
        <v>21</v>
      </c>
      <c r="F87" s="9" t="s">
        <v>141</v>
      </c>
      <c r="G87" s="10" t="s">
        <v>62</v>
      </c>
      <c r="H87" s="11" t="n">
        <v>4850</v>
      </c>
      <c r="I87" s="12" t="n">
        <v>1170</v>
      </c>
      <c r="J87" s="13" t="n">
        <f aca="false">H87*I87</f>
        <v>5674500</v>
      </c>
      <c r="K87" s="14" t="s">
        <v>24</v>
      </c>
      <c r="L87" s="8" t="s">
        <v>36</v>
      </c>
      <c r="M87" s="15" t="s">
        <v>90</v>
      </c>
      <c r="N87" s="16" t="n">
        <v>6.6</v>
      </c>
      <c r="O87" s="28" t="s">
        <v>162</v>
      </c>
    </row>
    <row r="88" customFormat="false" ht="15" hidden="false" customHeight="false" outlineLevel="0" collapsed="false">
      <c r="A88" s="4" t="s">
        <v>329</v>
      </c>
      <c r="B88" s="5" t="s">
        <v>330</v>
      </c>
      <c r="C88" s="18" t="s">
        <v>30</v>
      </c>
      <c r="D88" s="19" t="s">
        <v>41</v>
      </c>
      <c r="E88" s="20" t="s">
        <v>60</v>
      </c>
      <c r="F88" s="21" t="s">
        <v>104</v>
      </c>
      <c r="G88" s="22" t="s">
        <v>69</v>
      </c>
      <c r="H88" s="23" t="n">
        <v>5892</v>
      </c>
      <c r="I88" s="24" t="n">
        <v>548</v>
      </c>
      <c r="J88" s="13" t="n">
        <f aca="false">H88*I88</f>
        <v>3228816</v>
      </c>
      <c r="K88" s="14" t="s">
        <v>24</v>
      </c>
      <c r="L88" s="20" t="s">
        <v>36</v>
      </c>
      <c r="M88" s="26" t="s">
        <v>127</v>
      </c>
      <c r="N88" s="27" t="n">
        <v>5.7</v>
      </c>
      <c r="O88" s="28" t="s">
        <v>96</v>
      </c>
    </row>
    <row r="89" customFormat="false" ht="15" hidden="false" customHeight="false" outlineLevel="0" collapsed="false">
      <c r="A89" s="4" t="s">
        <v>331</v>
      </c>
      <c r="B89" s="5" t="s">
        <v>332</v>
      </c>
      <c r="C89" s="31" t="s">
        <v>85</v>
      </c>
      <c r="D89" s="7" t="s">
        <v>146</v>
      </c>
      <c r="E89" s="8" t="s">
        <v>312</v>
      </c>
      <c r="F89" s="9" t="s">
        <v>60</v>
      </c>
      <c r="G89" s="33" t="s">
        <v>333</v>
      </c>
      <c r="H89" s="11" t="n">
        <v>53502</v>
      </c>
      <c r="I89" s="12" t="n">
        <v>627</v>
      </c>
      <c r="J89" s="13" t="n">
        <f aca="false">H89*I89</f>
        <v>33545754</v>
      </c>
      <c r="K89" s="14" t="s">
        <v>24</v>
      </c>
      <c r="L89" s="8" t="s">
        <v>119</v>
      </c>
      <c r="M89" s="15" t="s">
        <v>90</v>
      </c>
      <c r="N89" s="16" t="n">
        <v>2.5</v>
      </c>
      <c r="O89" s="28" t="s">
        <v>38</v>
      </c>
    </row>
    <row r="90" customFormat="false" ht="15" hidden="false" customHeight="false" outlineLevel="0" collapsed="false">
      <c r="A90" s="4" t="s">
        <v>334</v>
      </c>
      <c r="B90" s="5" t="s">
        <v>335</v>
      </c>
      <c r="C90" s="30" t="s">
        <v>50</v>
      </c>
      <c r="D90" s="19" t="s">
        <v>277</v>
      </c>
      <c r="E90" s="20" t="s">
        <v>21</v>
      </c>
      <c r="F90" s="21" t="s">
        <v>22</v>
      </c>
      <c r="G90" s="22" t="s">
        <v>297</v>
      </c>
      <c r="H90" s="23" t="n">
        <v>886</v>
      </c>
      <c r="I90" s="24" t="n">
        <v>32885</v>
      </c>
      <c r="J90" s="13" t="n">
        <f aca="false">H90*I90</f>
        <v>29136110</v>
      </c>
      <c r="K90" s="14" t="s">
        <v>24</v>
      </c>
      <c r="L90" s="20" t="s">
        <v>298</v>
      </c>
      <c r="M90" s="26" t="s">
        <v>151</v>
      </c>
      <c r="N90" s="27" t="n">
        <v>12.9</v>
      </c>
      <c r="O90" s="28" t="s">
        <v>56</v>
      </c>
    </row>
    <row r="91" customFormat="false" ht="15" hidden="false" customHeight="false" outlineLevel="0" collapsed="false">
      <c r="A91" s="4" t="s">
        <v>336</v>
      </c>
      <c r="B91" s="5" t="s">
        <v>337</v>
      </c>
      <c r="C91" s="31" t="s">
        <v>85</v>
      </c>
      <c r="D91" s="7" t="s">
        <v>146</v>
      </c>
      <c r="E91" s="8" t="s">
        <v>99</v>
      </c>
      <c r="F91" s="9" t="s">
        <v>21</v>
      </c>
      <c r="G91" s="10" t="s">
        <v>88</v>
      </c>
      <c r="H91" s="11" t="n">
        <v>37058</v>
      </c>
      <c r="I91" s="12" t="n">
        <v>613</v>
      </c>
      <c r="J91" s="13" t="n">
        <f aca="false">H91*I91</f>
        <v>22716554</v>
      </c>
      <c r="K91" s="14" t="s">
        <v>24</v>
      </c>
      <c r="L91" s="8" t="s">
        <v>95</v>
      </c>
      <c r="M91" s="15" t="s">
        <v>151</v>
      </c>
      <c r="N91" s="16" t="n">
        <v>1.8</v>
      </c>
      <c r="O91" s="28" t="s">
        <v>96</v>
      </c>
    </row>
    <row r="92" customFormat="false" ht="15" hidden="false" customHeight="false" outlineLevel="0" collapsed="false">
      <c r="A92" s="4" t="s">
        <v>338</v>
      </c>
      <c r="B92" s="5" t="s">
        <v>339</v>
      </c>
      <c r="C92" s="18" t="s">
        <v>30</v>
      </c>
      <c r="D92" s="19" t="s">
        <v>79</v>
      </c>
      <c r="E92" s="20" t="s">
        <v>32</v>
      </c>
      <c r="F92" s="21" t="s">
        <v>210</v>
      </c>
      <c r="G92" s="22" t="s">
        <v>173</v>
      </c>
      <c r="H92" s="23" t="n">
        <v>2627</v>
      </c>
      <c r="I92" s="24" t="n">
        <v>727</v>
      </c>
      <c r="J92" s="13" t="n">
        <f aca="false">H92*I92</f>
        <v>1909829</v>
      </c>
      <c r="K92" s="25" t="s">
        <v>35</v>
      </c>
      <c r="L92" s="20" t="s">
        <v>76</v>
      </c>
      <c r="M92" s="26" t="s">
        <v>127</v>
      </c>
      <c r="N92" s="27" t="n">
        <v>4.6</v>
      </c>
      <c r="O92" s="28" t="s">
        <v>199</v>
      </c>
    </row>
    <row r="93" customFormat="false" ht="15" hidden="false" customHeight="false" outlineLevel="0" collapsed="false">
      <c r="A93" s="4" t="s">
        <v>340</v>
      </c>
      <c r="B93" s="5" t="s">
        <v>341</v>
      </c>
      <c r="C93" s="18" t="s">
        <v>30</v>
      </c>
      <c r="D93" s="29" t="s">
        <v>59</v>
      </c>
      <c r="E93" s="8" t="s">
        <v>42</v>
      </c>
      <c r="F93" s="9" t="s">
        <v>60</v>
      </c>
      <c r="G93" s="10" t="s">
        <v>190</v>
      </c>
      <c r="H93" s="11" t="n">
        <v>4446</v>
      </c>
      <c r="I93" s="12" t="n">
        <v>1112</v>
      </c>
      <c r="J93" s="13" t="n">
        <f aca="false">H93*I93</f>
        <v>4943952</v>
      </c>
      <c r="K93" s="14" t="s">
        <v>24</v>
      </c>
      <c r="L93" s="8" t="s">
        <v>25</v>
      </c>
      <c r="M93" s="15" t="s">
        <v>64</v>
      </c>
      <c r="N93" s="16" t="n">
        <v>8.5</v>
      </c>
      <c r="O93" s="28" t="s">
        <v>38</v>
      </c>
    </row>
    <row r="94" customFormat="false" ht="15" hidden="false" customHeight="false" outlineLevel="0" collapsed="false">
      <c r="A94" s="4" t="s">
        <v>342</v>
      </c>
      <c r="B94" s="5" t="s">
        <v>343</v>
      </c>
      <c r="C94" s="6" t="s">
        <v>19</v>
      </c>
      <c r="D94" s="19" t="s">
        <v>282</v>
      </c>
      <c r="E94" s="20" t="s">
        <v>147</v>
      </c>
      <c r="F94" s="21" t="s">
        <v>187</v>
      </c>
      <c r="G94" s="22" t="s">
        <v>267</v>
      </c>
      <c r="H94" s="23" t="n">
        <v>6001</v>
      </c>
      <c r="I94" s="24" t="n">
        <v>2238</v>
      </c>
      <c r="J94" s="13" t="n">
        <f aca="false">H94*I94</f>
        <v>13430238</v>
      </c>
      <c r="K94" s="14" t="s">
        <v>24</v>
      </c>
      <c r="L94" s="20" t="s">
        <v>309</v>
      </c>
      <c r="M94" s="26" t="s">
        <v>151</v>
      </c>
      <c r="N94" s="27" t="n">
        <v>4.1</v>
      </c>
      <c r="O94" s="28" t="s">
        <v>162</v>
      </c>
    </row>
    <row r="95" customFormat="false" ht="15" hidden="false" customHeight="false" outlineLevel="0" collapsed="false">
      <c r="A95" s="4" t="s">
        <v>344</v>
      </c>
      <c r="B95" s="5" t="s">
        <v>345</v>
      </c>
      <c r="C95" s="31" t="s">
        <v>85</v>
      </c>
      <c r="D95" s="29" t="s">
        <v>86</v>
      </c>
      <c r="E95" s="8" t="s">
        <v>99</v>
      </c>
      <c r="F95" s="9" t="s">
        <v>32</v>
      </c>
      <c r="G95" s="10" t="s">
        <v>322</v>
      </c>
      <c r="H95" s="11" t="n">
        <v>43688</v>
      </c>
      <c r="I95" s="12" t="n">
        <v>82.4</v>
      </c>
      <c r="J95" s="13" t="n">
        <f aca="false">H95*I95</f>
        <v>3599891.2</v>
      </c>
      <c r="K95" s="14" t="s">
        <v>24</v>
      </c>
      <c r="L95" s="8" t="s">
        <v>95</v>
      </c>
      <c r="M95" s="15" t="s">
        <v>64</v>
      </c>
      <c r="N95" s="16" t="n">
        <v>1.9</v>
      </c>
      <c r="O95" s="28" t="s">
        <v>274</v>
      </c>
    </row>
    <row r="96" customFormat="false" ht="15" hidden="false" customHeight="false" outlineLevel="0" collapsed="false">
      <c r="A96" s="4" t="s">
        <v>346</v>
      </c>
      <c r="B96" s="5" t="s">
        <v>347</v>
      </c>
      <c r="C96" s="31" t="s">
        <v>85</v>
      </c>
      <c r="D96" s="34" t="s">
        <v>130</v>
      </c>
      <c r="E96" s="20" t="s">
        <v>87</v>
      </c>
      <c r="F96" s="21" t="s">
        <v>131</v>
      </c>
      <c r="G96" s="22" t="s">
        <v>348</v>
      </c>
      <c r="H96" s="23" t="n">
        <v>49435</v>
      </c>
      <c r="I96" s="24" t="n">
        <v>11.8</v>
      </c>
      <c r="J96" s="13" t="n">
        <f aca="false">H96*I96</f>
        <v>583333</v>
      </c>
      <c r="K96" s="14" t="s">
        <v>24</v>
      </c>
      <c r="L96" s="20" t="s">
        <v>89</v>
      </c>
      <c r="M96" s="26" t="s">
        <v>46</v>
      </c>
      <c r="N96" s="27" t="n">
        <v>2.2</v>
      </c>
      <c r="O96" s="35"/>
    </row>
    <row r="97" customFormat="false" ht="15" hidden="false" customHeight="false" outlineLevel="0" collapsed="false">
      <c r="A97" s="4" t="s">
        <v>349</v>
      </c>
      <c r="B97" s="5" t="s">
        <v>350</v>
      </c>
      <c r="C97" s="31" t="s">
        <v>85</v>
      </c>
      <c r="D97" s="29" t="s">
        <v>86</v>
      </c>
      <c r="E97" s="8" t="s">
        <v>99</v>
      </c>
      <c r="F97" s="9" t="s">
        <v>32</v>
      </c>
      <c r="G97" s="10" t="s">
        <v>246</v>
      </c>
      <c r="H97" s="11" t="n">
        <v>50380</v>
      </c>
      <c r="I97" s="12" t="n">
        <v>82.7</v>
      </c>
      <c r="J97" s="13" t="n">
        <f aca="false">H97*I97</f>
        <v>4166426</v>
      </c>
      <c r="K97" s="14" t="s">
        <v>24</v>
      </c>
      <c r="L97" s="8" t="s">
        <v>193</v>
      </c>
      <c r="M97" s="15" t="s">
        <v>90</v>
      </c>
      <c r="N97" s="16" t="n">
        <v>2.5</v>
      </c>
      <c r="O97" s="28" t="s">
        <v>274</v>
      </c>
    </row>
    <row r="98" customFormat="false" ht="15" hidden="false" customHeight="false" outlineLevel="0" collapsed="false">
      <c r="A98" s="4" t="s">
        <v>351</v>
      </c>
      <c r="B98" s="5" t="s">
        <v>352</v>
      </c>
      <c r="C98" s="30" t="s">
        <v>50</v>
      </c>
      <c r="D98" s="19" t="s">
        <v>116</v>
      </c>
      <c r="E98" s="20" t="s">
        <v>32</v>
      </c>
      <c r="F98" s="21" t="s">
        <v>43</v>
      </c>
      <c r="G98" s="22" t="s">
        <v>75</v>
      </c>
      <c r="H98" s="23" t="n">
        <v>551</v>
      </c>
      <c r="I98" s="24" t="n">
        <v>8641</v>
      </c>
      <c r="J98" s="13" t="n">
        <f aca="false">H98*I98</f>
        <v>4761191</v>
      </c>
      <c r="K98" s="14" t="s">
        <v>24</v>
      </c>
      <c r="L98" s="20" t="s">
        <v>54</v>
      </c>
      <c r="M98" s="26" t="s">
        <v>127</v>
      </c>
      <c r="N98" s="27" t="n">
        <v>13.2</v>
      </c>
      <c r="O98" s="28" t="s">
        <v>38</v>
      </c>
    </row>
    <row r="99" customFormat="false" ht="15" hidden="false" customHeight="false" outlineLevel="0" collapsed="false">
      <c r="A99" s="4" t="s">
        <v>353</v>
      </c>
      <c r="B99" s="5" t="s">
        <v>354</v>
      </c>
      <c r="C99" s="18" t="s">
        <v>30</v>
      </c>
      <c r="D99" s="29" t="s">
        <v>79</v>
      </c>
      <c r="E99" s="8" t="s">
        <v>21</v>
      </c>
      <c r="F99" s="9" t="s">
        <v>81</v>
      </c>
      <c r="G99" s="10" t="s">
        <v>159</v>
      </c>
      <c r="H99" s="11" t="n">
        <v>1928</v>
      </c>
      <c r="I99" s="12" t="n">
        <v>746</v>
      </c>
      <c r="J99" s="13" t="n">
        <f aca="false">H99*I99</f>
        <v>1438288</v>
      </c>
      <c r="K99" s="14" t="s">
        <v>24</v>
      </c>
      <c r="L99" s="8" t="s">
        <v>113</v>
      </c>
      <c r="M99" s="15" t="s">
        <v>127</v>
      </c>
      <c r="N99" s="16" t="n">
        <v>3.7</v>
      </c>
      <c r="O99" s="28" t="s">
        <v>101</v>
      </c>
    </row>
    <row r="100" customFormat="false" ht="15" hidden="false" customHeight="false" outlineLevel="0" collapsed="false">
      <c r="A100" s="4" t="s">
        <v>355</v>
      </c>
      <c r="B100" s="5" t="s">
        <v>356</v>
      </c>
      <c r="C100" s="18" t="s">
        <v>30</v>
      </c>
      <c r="D100" s="19" t="s">
        <v>157</v>
      </c>
      <c r="E100" s="20" t="s">
        <v>21</v>
      </c>
      <c r="F100" s="21" t="s">
        <v>104</v>
      </c>
      <c r="G100" s="22" t="s">
        <v>110</v>
      </c>
      <c r="H100" s="23" t="n">
        <v>4962</v>
      </c>
      <c r="I100" s="24" t="n">
        <v>959</v>
      </c>
      <c r="J100" s="13" t="n">
        <f aca="false">H100*I100</f>
        <v>4758558</v>
      </c>
      <c r="K100" s="14" t="s">
        <v>24</v>
      </c>
      <c r="L100" s="20" t="s">
        <v>89</v>
      </c>
      <c r="M100" s="26" t="s">
        <v>90</v>
      </c>
      <c r="N100" s="27" t="n">
        <v>4.6</v>
      </c>
      <c r="O100" s="28" t="s">
        <v>106</v>
      </c>
    </row>
    <row r="101" customFormat="false" ht="15" hidden="false" customHeight="false" outlineLevel="0" collapsed="false">
      <c r="A101" s="4" t="s">
        <v>357</v>
      </c>
      <c r="B101" s="5" t="s">
        <v>358</v>
      </c>
      <c r="C101" s="18" t="s">
        <v>30</v>
      </c>
      <c r="D101" s="29" t="s">
        <v>41</v>
      </c>
      <c r="E101" s="8" t="s">
        <v>21</v>
      </c>
      <c r="F101" s="9" t="s">
        <v>33</v>
      </c>
      <c r="G101" s="10" t="s">
        <v>80</v>
      </c>
      <c r="H101" s="11" t="n">
        <v>5388</v>
      </c>
      <c r="I101" s="12" t="n">
        <v>552</v>
      </c>
      <c r="J101" s="13" t="n">
        <f aca="false">H101*I101</f>
        <v>2974176</v>
      </c>
      <c r="K101" s="14" t="s">
        <v>24</v>
      </c>
      <c r="L101" s="8" t="s">
        <v>45</v>
      </c>
      <c r="M101" s="15" t="s">
        <v>37</v>
      </c>
      <c r="N101" s="16" t="n">
        <v>5.7</v>
      </c>
      <c r="O101" s="28" t="s">
        <v>96</v>
      </c>
    </row>
    <row r="102" customFormat="false" ht="15" hidden="false" customHeight="false" outlineLevel="0" collapsed="false">
      <c r="A102" s="4" t="s">
        <v>359</v>
      </c>
      <c r="B102" s="5" t="s">
        <v>360</v>
      </c>
      <c r="C102" s="18" t="s">
        <v>30</v>
      </c>
      <c r="D102" s="19" t="s">
        <v>150</v>
      </c>
      <c r="E102" s="20" t="s">
        <v>42</v>
      </c>
      <c r="F102" s="21" t="s">
        <v>22</v>
      </c>
      <c r="G102" s="22" t="s">
        <v>235</v>
      </c>
      <c r="H102" s="23" t="n">
        <v>3844</v>
      </c>
      <c r="I102" s="24" t="n">
        <v>683</v>
      </c>
      <c r="J102" s="13" t="n">
        <f aca="false">H102*I102</f>
        <v>2625452</v>
      </c>
      <c r="K102" s="25" t="s">
        <v>35</v>
      </c>
      <c r="L102" s="20" t="s">
        <v>81</v>
      </c>
      <c r="M102" s="26" t="s">
        <v>127</v>
      </c>
      <c r="N102" s="27" t="n">
        <v>5.9</v>
      </c>
      <c r="O102" s="28" t="s">
        <v>91</v>
      </c>
    </row>
    <row r="103" customFormat="false" ht="15" hidden="false" customHeight="false" outlineLevel="0" collapsed="false">
      <c r="A103" s="4" t="s">
        <v>361</v>
      </c>
      <c r="B103" s="5" t="s">
        <v>362</v>
      </c>
      <c r="C103" s="32" t="s">
        <v>122</v>
      </c>
      <c r="D103" s="29" t="s">
        <v>134</v>
      </c>
      <c r="E103" s="8" t="s">
        <v>147</v>
      </c>
      <c r="F103" s="9" t="s">
        <v>104</v>
      </c>
      <c r="G103" s="33" t="s">
        <v>125</v>
      </c>
      <c r="H103" s="11" t="n">
        <v>19701</v>
      </c>
      <c r="I103" s="12" t="n">
        <v>266</v>
      </c>
      <c r="J103" s="13" t="n">
        <f aca="false">H103*I103</f>
        <v>5240466</v>
      </c>
      <c r="K103" s="14" t="s">
        <v>24</v>
      </c>
      <c r="L103" s="8" t="s">
        <v>137</v>
      </c>
      <c r="M103" s="15" t="s">
        <v>55</v>
      </c>
      <c r="N103" s="16" t="n">
        <v>4.6</v>
      </c>
      <c r="O103" s="28" t="s">
        <v>38</v>
      </c>
    </row>
    <row r="104" customFormat="false" ht="15" hidden="false" customHeight="false" outlineLevel="0" collapsed="false">
      <c r="A104" s="4" t="s">
        <v>363</v>
      </c>
      <c r="B104" s="5" t="s">
        <v>364</v>
      </c>
      <c r="C104" s="18" t="s">
        <v>30</v>
      </c>
      <c r="D104" s="19" t="s">
        <v>79</v>
      </c>
      <c r="E104" s="20" t="s">
        <v>32</v>
      </c>
      <c r="F104" s="40" t="s">
        <v>222</v>
      </c>
      <c r="G104" s="22" t="s">
        <v>235</v>
      </c>
      <c r="H104" s="23" t="n">
        <v>2148</v>
      </c>
      <c r="I104" s="24" t="n">
        <v>738</v>
      </c>
      <c r="J104" s="13" t="n">
        <f aca="false">H104*I104</f>
        <v>1585224</v>
      </c>
      <c r="K104" s="14" t="s">
        <v>24</v>
      </c>
      <c r="L104" s="20" t="s">
        <v>25</v>
      </c>
      <c r="M104" s="26" t="s">
        <v>26</v>
      </c>
      <c r="N104" s="27" t="n">
        <v>4.7</v>
      </c>
      <c r="O104" s="28" t="s">
        <v>174</v>
      </c>
    </row>
    <row r="105" customFormat="false" ht="15" hidden="false" customHeight="false" outlineLevel="0" collapsed="false">
      <c r="A105" s="4" t="s">
        <v>365</v>
      </c>
      <c r="B105" s="5" t="s">
        <v>366</v>
      </c>
      <c r="C105" s="30" t="s">
        <v>50</v>
      </c>
      <c r="D105" s="29" t="s">
        <v>67</v>
      </c>
      <c r="E105" s="8" t="s">
        <v>32</v>
      </c>
      <c r="F105" s="9" t="s">
        <v>210</v>
      </c>
      <c r="G105" s="10" t="s">
        <v>75</v>
      </c>
      <c r="H105" s="11" t="n">
        <v>917</v>
      </c>
      <c r="I105" s="12" t="n">
        <v>2327</v>
      </c>
      <c r="J105" s="13" t="n">
        <f aca="false">H105*I105</f>
        <v>2133859</v>
      </c>
      <c r="K105" s="36" t="s">
        <v>35</v>
      </c>
      <c r="L105" s="8" t="s">
        <v>309</v>
      </c>
      <c r="M105" s="15" t="s">
        <v>26</v>
      </c>
      <c r="N105" s="16" t="n">
        <v>10</v>
      </c>
      <c r="O105" s="28" t="s">
        <v>96</v>
      </c>
    </row>
    <row r="106" customFormat="false" ht="15" hidden="false" customHeight="false" outlineLevel="0" collapsed="false">
      <c r="A106" s="4" t="s">
        <v>367</v>
      </c>
      <c r="B106" s="5" t="s">
        <v>368</v>
      </c>
      <c r="C106" s="30" t="s">
        <v>50</v>
      </c>
      <c r="D106" s="19" t="s">
        <v>67</v>
      </c>
      <c r="E106" s="20" t="s">
        <v>99</v>
      </c>
      <c r="F106" s="21" t="s">
        <v>239</v>
      </c>
      <c r="G106" s="22" t="s">
        <v>53</v>
      </c>
      <c r="H106" s="23" t="n">
        <v>703</v>
      </c>
      <c r="I106" s="24" t="n">
        <v>2236</v>
      </c>
      <c r="J106" s="13" t="n">
        <f aca="false">H106*I106</f>
        <v>1571908</v>
      </c>
      <c r="K106" s="14" t="s">
        <v>24</v>
      </c>
      <c r="L106" s="20" t="s">
        <v>216</v>
      </c>
      <c r="M106" s="26" t="s">
        <v>151</v>
      </c>
      <c r="N106" s="27" t="n">
        <v>10.1</v>
      </c>
      <c r="O106" s="28" t="s">
        <v>236</v>
      </c>
    </row>
    <row r="107" customFormat="false" ht="15" hidden="false" customHeight="false" outlineLevel="0" collapsed="false">
      <c r="A107" s="4" t="s">
        <v>369</v>
      </c>
      <c r="B107" s="5" t="s">
        <v>370</v>
      </c>
      <c r="C107" s="30" t="s">
        <v>50</v>
      </c>
      <c r="D107" s="29" t="s">
        <v>51</v>
      </c>
      <c r="E107" s="8" t="s">
        <v>74</v>
      </c>
      <c r="F107" s="9" t="s">
        <v>52</v>
      </c>
      <c r="G107" s="10" t="s">
        <v>371</v>
      </c>
      <c r="H107" s="11" t="n">
        <v>770</v>
      </c>
      <c r="I107" s="12" t="n">
        <v>19388</v>
      </c>
      <c r="J107" s="13" t="n">
        <f aca="false">H107*I107</f>
        <v>14928760</v>
      </c>
      <c r="K107" s="14" t="s">
        <v>24</v>
      </c>
      <c r="L107" s="8" t="s">
        <v>54</v>
      </c>
      <c r="M107" s="15" t="s">
        <v>64</v>
      </c>
      <c r="N107" s="16" t="n">
        <v>13.2</v>
      </c>
      <c r="O107" s="28" t="s">
        <v>106</v>
      </c>
    </row>
    <row r="108" customFormat="false" ht="15" hidden="false" customHeight="false" outlineLevel="0" collapsed="false">
      <c r="A108" s="4" t="s">
        <v>372</v>
      </c>
      <c r="B108" s="5" t="s">
        <v>373</v>
      </c>
      <c r="C108" s="32" t="s">
        <v>122</v>
      </c>
      <c r="D108" s="19" t="s">
        <v>134</v>
      </c>
      <c r="E108" s="20" t="s">
        <v>147</v>
      </c>
      <c r="F108" s="21" t="s">
        <v>135</v>
      </c>
      <c r="G108" s="22" t="s">
        <v>23</v>
      </c>
      <c r="H108" s="23" t="n">
        <v>15533</v>
      </c>
      <c r="I108" s="24" t="n">
        <v>285</v>
      </c>
      <c r="J108" s="13" t="n">
        <f aca="false">H108*I108</f>
        <v>4426905</v>
      </c>
      <c r="K108" s="14" t="s">
        <v>24</v>
      </c>
      <c r="L108" s="20" t="s">
        <v>126</v>
      </c>
      <c r="M108" s="26" t="s">
        <v>151</v>
      </c>
      <c r="N108" s="27" t="n">
        <v>4.3</v>
      </c>
      <c r="O108" s="17" t="s">
        <v>27</v>
      </c>
    </row>
    <row r="109" customFormat="false" ht="15" hidden="false" customHeight="false" outlineLevel="0" collapsed="false">
      <c r="A109" s="4" t="s">
        <v>374</v>
      </c>
      <c r="B109" s="5" t="s">
        <v>375</v>
      </c>
      <c r="C109" s="31" t="s">
        <v>85</v>
      </c>
      <c r="D109" s="29" t="s">
        <v>242</v>
      </c>
      <c r="E109" s="8" t="s">
        <v>22</v>
      </c>
      <c r="F109" s="9" t="s">
        <v>32</v>
      </c>
      <c r="G109" s="10" t="s">
        <v>100</v>
      </c>
      <c r="H109" s="11" t="n">
        <v>28258</v>
      </c>
      <c r="I109" s="12" t="n">
        <v>4272</v>
      </c>
      <c r="J109" s="13" t="n">
        <f aca="false">H109*I109</f>
        <v>120718176</v>
      </c>
      <c r="K109" s="14" t="s">
        <v>24</v>
      </c>
      <c r="L109" s="8" t="s">
        <v>193</v>
      </c>
      <c r="M109" s="15" t="s">
        <v>127</v>
      </c>
      <c r="N109" s="16" t="n">
        <v>2.8</v>
      </c>
      <c r="O109" s="17" t="s">
        <v>27</v>
      </c>
    </row>
    <row r="110" customFormat="false" ht="15" hidden="false" customHeight="false" outlineLevel="0" collapsed="false">
      <c r="A110" s="4" t="s">
        <v>376</v>
      </c>
      <c r="B110" s="5" t="s">
        <v>377</v>
      </c>
      <c r="C110" s="32" t="s">
        <v>122</v>
      </c>
      <c r="D110" s="19" t="s">
        <v>177</v>
      </c>
      <c r="E110" s="20" t="s">
        <v>22</v>
      </c>
      <c r="F110" s="21" t="s">
        <v>32</v>
      </c>
      <c r="G110" s="39" t="s">
        <v>378</v>
      </c>
      <c r="H110" s="23" t="n">
        <v>9138</v>
      </c>
      <c r="I110" s="24" t="n">
        <v>322</v>
      </c>
      <c r="J110" s="13" t="n">
        <f aca="false">H110*I110</f>
        <v>2942436</v>
      </c>
      <c r="K110" s="14" t="s">
        <v>24</v>
      </c>
      <c r="L110" s="20" t="s">
        <v>119</v>
      </c>
      <c r="M110" s="26" t="s">
        <v>55</v>
      </c>
      <c r="N110" s="27" t="n">
        <v>2.7</v>
      </c>
      <c r="O110" s="28" t="s">
        <v>106</v>
      </c>
    </row>
    <row r="111" customFormat="false" ht="15" hidden="false" customHeight="false" outlineLevel="0" collapsed="false">
      <c r="A111" s="4" t="s">
        <v>379</v>
      </c>
      <c r="B111" s="5" t="s">
        <v>380</v>
      </c>
      <c r="C111" s="31" t="s">
        <v>85</v>
      </c>
      <c r="D111" s="29" t="s">
        <v>206</v>
      </c>
      <c r="E111" s="8" t="s">
        <v>99</v>
      </c>
      <c r="F111" s="9" t="s">
        <v>21</v>
      </c>
      <c r="G111" s="10" t="s">
        <v>246</v>
      </c>
      <c r="H111" s="11" t="n">
        <v>53210</v>
      </c>
      <c r="I111" s="12" t="n">
        <v>132</v>
      </c>
      <c r="J111" s="13" t="n">
        <f aca="false">H111*I111</f>
        <v>7023720</v>
      </c>
      <c r="K111" s="36" t="s">
        <v>35</v>
      </c>
      <c r="L111" s="8" t="s">
        <v>95</v>
      </c>
      <c r="M111" s="15" t="s">
        <v>46</v>
      </c>
      <c r="N111" s="16" t="n">
        <v>2.7</v>
      </c>
      <c r="O111" s="17" t="s">
        <v>27</v>
      </c>
    </row>
    <row r="112" customFormat="false" ht="15" hidden="false" customHeight="false" outlineLevel="0" collapsed="false">
      <c r="A112" s="4" t="s">
        <v>381</v>
      </c>
      <c r="B112" s="5" t="s">
        <v>382</v>
      </c>
      <c r="C112" s="18" t="s">
        <v>30</v>
      </c>
      <c r="D112" s="19" t="s">
        <v>31</v>
      </c>
      <c r="E112" s="20" t="s">
        <v>60</v>
      </c>
      <c r="F112" s="21" t="s">
        <v>60</v>
      </c>
      <c r="G112" s="22" t="s">
        <v>190</v>
      </c>
      <c r="H112" s="23" t="n">
        <v>4558</v>
      </c>
      <c r="I112" s="24" t="n">
        <v>898</v>
      </c>
      <c r="J112" s="13" t="n">
        <f aca="false">H112*I112</f>
        <v>4093084</v>
      </c>
      <c r="K112" s="14" t="s">
        <v>24</v>
      </c>
      <c r="L112" s="20" t="s">
        <v>264</v>
      </c>
      <c r="M112" s="26" t="s">
        <v>90</v>
      </c>
      <c r="N112" s="27" t="n">
        <v>4.6</v>
      </c>
      <c r="O112" s="28" t="s">
        <v>236</v>
      </c>
    </row>
    <row r="113" customFormat="false" ht="15" hidden="false" customHeight="false" outlineLevel="0" collapsed="false">
      <c r="A113" s="4" t="s">
        <v>383</v>
      </c>
      <c r="B113" s="5" t="s">
        <v>384</v>
      </c>
      <c r="C113" s="31" t="s">
        <v>85</v>
      </c>
      <c r="D113" s="29" t="s">
        <v>242</v>
      </c>
      <c r="E113" s="8" t="s">
        <v>81</v>
      </c>
      <c r="F113" s="9" t="s">
        <v>21</v>
      </c>
      <c r="G113" s="10" t="s">
        <v>322</v>
      </c>
      <c r="H113" s="11" t="n">
        <v>55969</v>
      </c>
      <c r="I113" s="12" t="n">
        <v>4231</v>
      </c>
      <c r="J113" s="13" t="n">
        <f aca="false">H113*I113</f>
        <v>236804839</v>
      </c>
      <c r="K113" s="14" t="s">
        <v>24</v>
      </c>
      <c r="L113" s="8" t="s">
        <v>193</v>
      </c>
      <c r="M113" s="15" t="s">
        <v>151</v>
      </c>
      <c r="N113" s="16" t="n">
        <v>1.6</v>
      </c>
      <c r="O113" s="28" t="s">
        <v>101</v>
      </c>
    </row>
    <row r="114" customFormat="false" ht="15" hidden="false" customHeight="false" outlineLevel="0" collapsed="false">
      <c r="A114" s="4" t="s">
        <v>385</v>
      </c>
      <c r="B114" s="5" t="s">
        <v>386</v>
      </c>
      <c r="C114" s="18" t="s">
        <v>30</v>
      </c>
      <c r="D114" s="19" t="s">
        <v>41</v>
      </c>
      <c r="E114" s="20" t="s">
        <v>32</v>
      </c>
      <c r="F114" s="21" t="s">
        <v>33</v>
      </c>
      <c r="G114" s="22" t="s">
        <v>190</v>
      </c>
      <c r="H114" s="23" t="n">
        <v>3468</v>
      </c>
      <c r="I114" s="24" t="n">
        <v>564</v>
      </c>
      <c r="J114" s="13" t="n">
        <f aca="false">H114*I114</f>
        <v>1955952</v>
      </c>
      <c r="K114" s="25" t="s">
        <v>35</v>
      </c>
      <c r="L114" s="20" t="s">
        <v>45</v>
      </c>
      <c r="M114" s="26" t="s">
        <v>64</v>
      </c>
      <c r="N114" s="27" t="n">
        <v>3.8</v>
      </c>
      <c r="O114" s="35"/>
    </row>
    <row r="115" customFormat="false" ht="15" hidden="false" customHeight="false" outlineLevel="0" collapsed="false">
      <c r="A115" s="4" t="s">
        <v>387</v>
      </c>
      <c r="B115" s="5" t="s">
        <v>388</v>
      </c>
      <c r="C115" s="31" t="s">
        <v>85</v>
      </c>
      <c r="D115" s="29" t="s">
        <v>86</v>
      </c>
      <c r="E115" s="8" t="s">
        <v>22</v>
      </c>
      <c r="F115" s="9" t="s">
        <v>131</v>
      </c>
      <c r="G115" s="10" t="s">
        <v>243</v>
      </c>
      <c r="H115" s="11" t="n">
        <v>59592</v>
      </c>
      <c r="I115" s="12" t="n">
        <v>79.2</v>
      </c>
      <c r="J115" s="13" t="n">
        <f aca="false">H115*I115</f>
        <v>4719686.4</v>
      </c>
      <c r="K115" s="14" t="s">
        <v>24</v>
      </c>
      <c r="L115" s="8" t="s">
        <v>193</v>
      </c>
      <c r="M115" s="15" t="s">
        <v>37</v>
      </c>
      <c r="N115" s="16" t="n">
        <v>2.1</v>
      </c>
      <c r="O115" s="28" t="s">
        <v>96</v>
      </c>
    </row>
    <row r="116" customFormat="false" ht="15" hidden="false" customHeight="false" outlineLevel="0" collapsed="false">
      <c r="A116" s="4" t="s">
        <v>389</v>
      </c>
      <c r="B116" s="5" t="s">
        <v>390</v>
      </c>
      <c r="C116" s="18" t="s">
        <v>30</v>
      </c>
      <c r="D116" s="19" t="s">
        <v>150</v>
      </c>
      <c r="E116" s="20" t="s">
        <v>21</v>
      </c>
      <c r="F116" s="21" t="s">
        <v>109</v>
      </c>
      <c r="G116" s="22" t="s">
        <v>69</v>
      </c>
      <c r="H116" s="23" t="n">
        <v>5107</v>
      </c>
      <c r="I116" s="24" t="n">
        <v>671</v>
      </c>
      <c r="J116" s="13" t="n">
        <f aca="false">H116*I116</f>
        <v>3426797</v>
      </c>
      <c r="K116" s="14" t="s">
        <v>24</v>
      </c>
      <c r="L116" s="20" t="s">
        <v>81</v>
      </c>
      <c r="M116" s="26" t="s">
        <v>90</v>
      </c>
      <c r="N116" s="27" t="n">
        <v>7.4</v>
      </c>
      <c r="O116" s="28" t="s">
        <v>47</v>
      </c>
    </row>
    <row r="117" customFormat="false" ht="15" hidden="false" customHeight="false" outlineLevel="0" collapsed="false">
      <c r="A117" s="4" t="s">
        <v>391</v>
      </c>
      <c r="B117" s="5" t="s">
        <v>392</v>
      </c>
      <c r="C117" s="18" t="s">
        <v>30</v>
      </c>
      <c r="D117" s="29" t="s">
        <v>41</v>
      </c>
      <c r="E117" s="8" t="s">
        <v>42</v>
      </c>
      <c r="F117" s="9" t="s">
        <v>141</v>
      </c>
      <c r="G117" s="10" t="s">
        <v>159</v>
      </c>
      <c r="H117" s="11" t="n">
        <v>2919</v>
      </c>
      <c r="I117" s="12" t="n">
        <v>557</v>
      </c>
      <c r="J117" s="13" t="n">
        <f aca="false">H117*I117</f>
        <v>1625883</v>
      </c>
      <c r="K117" s="36" t="s">
        <v>35</v>
      </c>
      <c r="L117" s="8" t="s">
        <v>170</v>
      </c>
      <c r="M117" s="15" t="s">
        <v>46</v>
      </c>
      <c r="N117" s="16" t="n">
        <v>6.9</v>
      </c>
      <c r="O117" s="28" t="s">
        <v>162</v>
      </c>
    </row>
    <row r="118" customFormat="false" ht="15" hidden="false" customHeight="false" outlineLevel="0" collapsed="false">
      <c r="A118" s="4" t="s">
        <v>393</v>
      </c>
      <c r="B118" s="5" t="s">
        <v>394</v>
      </c>
      <c r="C118" s="32" t="s">
        <v>122</v>
      </c>
      <c r="D118" s="19" t="s">
        <v>140</v>
      </c>
      <c r="E118" s="20" t="s">
        <v>260</v>
      </c>
      <c r="F118" s="21" t="s">
        <v>178</v>
      </c>
      <c r="G118" s="22" t="s">
        <v>23</v>
      </c>
      <c r="H118" s="23" t="n">
        <v>16391</v>
      </c>
      <c r="I118" s="24" t="n">
        <v>460</v>
      </c>
      <c r="J118" s="13" t="n">
        <f aca="false">H118*I118</f>
        <v>7539860</v>
      </c>
      <c r="K118" s="14" t="s">
        <v>24</v>
      </c>
      <c r="L118" s="20" t="s">
        <v>395</v>
      </c>
      <c r="M118" s="26" t="s">
        <v>37</v>
      </c>
      <c r="N118" s="27" t="n">
        <v>3.5</v>
      </c>
      <c r="O118" s="28" t="s">
        <v>96</v>
      </c>
    </row>
    <row r="119" customFormat="false" ht="15" hidden="false" customHeight="false" outlineLevel="0" collapsed="false">
      <c r="A119" s="4" t="s">
        <v>396</v>
      </c>
      <c r="B119" s="5" t="s">
        <v>397</v>
      </c>
      <c r="C119" s="30" t="s">
        <v>50</v>
      </c>
      <c r="D119" s="29" t="s">
        <v>277</v>
      </c>
      <c r="E119" s="8" t="s">
        <v>74</v>
      </c>
      <c r="F119" s="9" t="s">
        <v>239</v>
      </c>
      <c r="G119" s="10" t="s">
        <v>69</v>
      </c>
      <c r="H119" s="11" t="n">
        <v>203</v>
      </c>
      <c r="I119" s="12" t="n">
        <v>33996</v>
      </c>
      <c r="J119" s="13" t="n">
        <f aca="false">H119*I119</f>
        <v>6901188</v>
      </c>
      <c r="K119" s="14" t="s">
        <v>24</v>
      </c>
      <c r="L119" s="8" t="s">
        <v>319</v>
      </c>
      <c r="M119" s="15" t="s">
        <v>55</v>
      </c>
      <c r="N119" s="16" t="n">
        <v>10.9</v>
      </c>
      <c r="O119" s="38"/>
    </row>
    <row r="120" customFormat="false" ht="15" hidden="false" customHeight="false" outlineLevel="0" collapsed="false">
      <c r="A120" s="4" t="s">
        <v>398</v>
      </c>
      <c r="B120" s="5" t="s">
        <v>399</v>
      </c>
      <c r="C120" s="31" t="s">
        <v>85</v>
      </c>
      <c r="D120" s="34" t="s">
        <v>146</v>
      </c>
      <c r="E120" s="20" t="s">
        <v>312</v>
      </c>
      <c r="F120" s="21" t="s">
        <v>60</v>
      </c>
      <c r="G120" s="22" t="s">
        <v>88</v>
      </c>
      <c r="H120" s="23" t="n">
        <v>40932</v>
      </c>
      <c r="I120" s="24" t="n">
        <v>610</v>
      </c>
      <c r="J120" s="13" t="n">
        <f aca="false">H120*I120</f>
        <v>24968520</v>
      </c>
      <c r="K120" s="14" t="s">
        <v>24</v>
      </c>
      <c r="L120" s="20" t="s">
        <v>95</v>
      </c>
      <c r="M120" s="26" t="s">
        <v>90</v>
      </c>
      <c r="N120" s="27" t="n">
        <v>2.5</v>
      </c>
      <c r="O120" s="28" t="s">
        <v>162</v>
      </c>
    </row>
    <row r="121" customFormat="false" ht="15" hidden="false" customHeight="false" outlineLevel="0" collapsed="false">
      <c r="A121" s="4" t="s">
        <v>400</v>
      </c>
      <c r="B121" s="5" t="s">
        <v>401</v>
      </c>
      <c r="C121" s="18" t="s">
        <v>30</v>
      </c>
      <c r="D121" s="7" t="s">
        <v>154</v>
      </c>
      <c r="E121" s="8" t="s">
        <v>21</v>
      </c>
      <c r="F121" s="9" t="s">
        <v>22</v>
      </c>
      <c r="G121" s="10" t="s">
        <v>235</v>
      </c>
      <c r="H121" s="11" t="n">
        <v>5228</v>
      </c>
      <c r="I121" s="12" t="n">
        <v>1892</v>
      </c>
      <c r="J121" s="13" t="n">
        <f aca="false">H121*I121</f>
        <v>9891376</v>
      </c>
      <c r="K121" s="14" t="s">
        <v>24</v>
      </c>
      <c r="L121" s="8" t="s">
        <v>70</v>
      </c>
      <c r="M121" s="15" t="s">
        <v>37</v>
      </c>
      <c r="N121" s="16" t="n">
        <v>8.4</v>
      </c>
      <c r="O121" s="28" t="s">
        <v>91</v>
      </c>
    </row>
    <row r="122" customFormat="false" ht="15" hidden="false" customHeight="false" outlineLevel="0" collapsed="false">
      <c r="A122" s="4" t="s">
        <v>402</v>
      </c>
      <c r="B122" s="5" t="s">
        <v>403</v>
      </c>
      <c r="C122" s="32" t="s">
        <v>122</v>
      </c>
      <c r="D122" s="19" t="s">
        <v>134</v>
      </c>
      <c r="E122" s="20" t="s">
        <v>147</v>
      </c>
      <c r="F122" s="21" t="s">
        <v>74</v>
      </c>
      <c r="G122" s="22" t="s">
        <v>225</v>
      </c>
      <c r="H122" s="23" t="n">
        <v>16469</v>
      </c>
      <c r="I122" s="24" t="n">
        <v>280</v>
      </c>
      <c r="J122" s="13" t="n">
        <f aca="false">H122*I122</f>
        <v>4611320</v>
      </c>
      <c r="K122" s="14" t="s">
        <v>24</v>
      </c>
      <c r="L122" s="20" t="s">
        <v>179</v>
      </c>
      <c r="M122" s="26" t="s">
        <v>37</v>
      </c>
      <c r="N122" s="27" t="n">
        <v>3.9</v>
      </c>
      <c r="O122" s="35"/>
    </row>
    <row r="123" customFormat="false" ht="15" hidden="false" customHeight="false" outlineLevel="0" collapsed="false">
      <c r="A123" s="4" t="s">
        <v>404</v>
      </c>
      <c r="B123" s="5" t="s">
        <v>405</v>
      </c>
      <c r="C123" s="32" t="s">
        <v>122</v>
      </c>
      <c r="D123" s="29" t="s">
        <v>177</v>
      </c>
      <c r="E123" s="8" t="s">
        <v>22</v>
      </c>
      <c r="F123" s="9" t="s">
        <v>178</v>
      </c>
      <c r="G123" s="33" t="s">
        <v>125</v>
      </c>
      <c r="H123" s="11" t="n">
        <v>18343</v>
      </c>
      <c r="I123" s="12" t="n">
        <v>326</v>
      </c>
      <c r="J123" s="13" t="n">
        <f aca="false">H123*I123</f>
        <v>5979818</v>
      </c>
      <c r="K123" s="36" t="s">
        <v>35</v>
      </c>
      <c r="L123" s="8" t="s">
        <v>179</v>
      </c>
      <c r="M123" s="15" t="s">
        <v>46</v>
      </c>
      <c r="N123" s="16" t="n">
        <v>4.3</v>
      </c>
      <c r="O123" s="28" t="s">
        <v>47</v>
      </c>
    </row>
    <row r="124" customFormat="false" ht="15" hidden="false" customHeight="false" outlineLevel="0" collapsed="false">
      <c r="A124" s="4" t="s">
        <v>406</v>
      </c>
      <c r="B124" s="5" t="s">
        <v>407</v>
      </c>
      <c r="C124" s="18" t="s">
        <v>30</v>
      </c>
      <c r="D124" s="19" t="s">
        <v>41</v>
      </c>
      <c r="E124" s="20" t="s">
        <v>42</v>
      </c>
      <c r="F124" s="21" t="s">
        <v>33</v>
      </c>
      <c r="G124" s="22" t="s">
        <v>230</v>
      </c>
      <c r="H124" s="23" t="n">
        <v>2483</v>
      </c>
      <c r="I124" s="24" t="n">
        <v>556</v>
      </c>
      <c r="J124" s="13" t="n">
        <f aca="false">H124*I124</f>
        <v>1380548</v>
      </c>
      <c r="K124" s="14" t="s">
        <v>24</v>
      </c>
      <c r="L124" s="20" t="s">
        <v>264</v>
      </c>
      <c r="M124" s="26" t="s">
        <v>90</v>
      </c>
      <c r="N124" s="27" t="n">
        <v>6.4</v>
      </c>
      <c r="O124" s="35"/>
    </row>
    <row r="125" customFormat="false" ht="15" hidden="false" customHeight="false" outlineLevel="0" collapsed="false">
      <c r="A125" s="4" t="s">
        <v>408</v>
      </c>
      <c r="B125" s="5" t="s">
        <v>409</v>
      </c>
      <c r="C125" s="30" t="s">
        <v>50</v>
      </c>
      <c r="D125" s="29" t="s">
        <v>209</v>
      </c>
      <c r="E125" s="8" t="s">
        <v>147</v>
      </c>
      <c r="F125" s="9" t="s">
        <v>32</v>
      </c>
      <c r="G125" s="10" t="s">
        <v>215</v>
      </c>
      <c r="H125" s="11" t="n">
        <v>728</v>
      </c>
      <c r="I125" s="12" t="n">
        <v>50273</v>
      </c>
      <c r="J125" s="13" t="n">
        <f aca="false">H125*I125</f>
        <v>36598744</v>
      </c>
      <c r="K125" s="36" t="s">
        <v>35</v>
      </c>
      <c r="L125" s="8" t="s">
        <v>319</v>
      </c>
      <c r="M125" s="15" t="s">
        <v>55</v>
      </c>
      <c r="N125" s="16" t="n">
        <v>9</v>
      </c>
      <c r="O125" s="28" t="s">
        <v>96</v>
      </c>
    </row>
    <row r="126" customFormat="false" ht="15" hidden="false" customHeight="false" outlineLevel="0" collapsed="false">
      <c r="A126" s="4" t="s">
        <v>410</v>
      </c>
      <c r="B126" s="5" t="s">
        <v>411</v>
      </c>
      <c r="C126" s="30" t="s">
        <v>50</v>
      </c>
      <c r="D126" s="19" t="s">
        <v>73</v>
      </c>
      <c r="E126" s="20" t="s">
        <v>32</v>
      </c>
      <c r="F126" s="21" t="s">
        <v>32</v>
      </c>
      <c r="G126" s="22" t="s">
        <v>53</v>
      </c>
      <c r="H126" s="23" t="n">
        <v>840</v>
      </c>
      <c r="I126" s="24" t="n">
        <v>18376</v>
      </c>
      <c r="J126" s="13" t="n">
        <f aca="false">H126*I126</f>
        <v>15435840</v>
      </c>
      <c r="K126" s="14" t="s">
        <v>24</v>
      </c>
      <c r="L126" s="20" t="s">
        <v>25</v>
      </c>
      <c r="M126" s="26" t="s">
        <v>90</v>
      </c>
      <c r="N126" s="27" t="n">
        <v>13.2</v>
      </c>
      <c r="O126" s="28" t="s">
        <v>91</v>
      </c>
    </row>
    <row r="127" customFormat="false" ht="15" hidden="false" customHeight="false" outlineLevel="0" collapsed="false">
      <c r="A127" s="4" t="s">
        <v>412</v>
      </c>
      <c r="B127" s="5" t="s">
        <v>413</v>
      </c>
      <c r="C127" s="30" t="s">
        <v>50</v>
      </c>
      <c r="D127" s="29" t="s">
        <v>116</v>
      </c>
      <c r="E127" s="8" t="s">
        <v>147</v>
      </c>
      <c r="F127" s="9" t="s">
        <v>52</v>
      </c>
      <c r="G127" s="10" t="s">
        <v>215</v>
      </c>
      <c r="H127" s="11" t="n">
        <v>823</v>
      </c>
      <c r="I127" s="12" t="n">
        <v>8576</v>
      </c>
      <c r="J127" s="13" t="n">
        <f aca="false">H127*I127</f>
        <v>7058048</v>
      </c>
      <c r="K127" s="14" t="s">
        <v>24</v>
      </c>
      <c r="L127" s="8" t="s">
        <v>76</v>
      </c>
      <c r="M127" s="15" t="s">
        <v>127</v>
      </c>
      <c r="N127" s="16" t="n">
        <v>9</v>
      </c>
      <c r="O127" s="38"/>
    </row>
    <row r="128" customFormat="false" ht="15" hidden="false" customHeight="false" outlineLevel="0" collapsed="false">
      <c r="A128" s="4" t="s">
        <v>414</v>
      </c>
      <c r="B128" s="5" t="s">
        <v>415</v>
      </c>
      <c r="C128" s="31" t="s">
        <v>85</v>
      </c>
      <c r="D128" s="34" t="s">
        <v>146</v>
      </c>
      <c r="E128" s="20" t="s">
        <v>99</v>
      </c>
      <c r="F128" s="21" t="s">
        <v>21</v>
      </c>
      <c r="G128" s="22" t="s">
        <v>182</v>
      </c>
      <c r="H128" s="23" t="n">
        <v>34988</v>
      </c>
      <c r="I128" s="24" t="n">
        <v>613</v>
      </c>
      <c r="J128" s="13" t="n">
        <f aca="false">H128*I128</f>
        <v>21447644</v>
      </c>
      <c r="K128" s="14" t="s">
        <v>24</v>
      </c>
      <c r="L128" s="20" t="s">
        <v>89</v>
      </c>
      <c r="M128" s="26" t="s">
        <v>127</v>
      </c>
      <c r="N128" s="27" t="n">
        <v>2.8</v>
      </c>
      <c r="O128" s="28" t="s">
        <v>174</v>
      </c>
    </row>
    <row r="129" customFormat="false" ht="15" hidden="false" customHeight="false" outlineLevel="0" collapsed="false">
      <c r="A129" s="4" t="s">
        <v>416</v>
      </c>
      <c r="B129" s="5" t="s">
        <v>417</v>
      </c>
      <c r="C129" s="32" t="s">
        <v>122</v>
      </c>
      <c r="D129" s="29" t="s">
        <v>134</v>
      </c>
      <c r="E129" s="8" t="s">
        <v>147</v>
      </c>
      <c r="F129" s="9" t="s">
        <v>135</v>
      </c>
      <c r="G129" s="10" t="s">
        <v>198</v>
      </c>
      <c r="H129" s="11" t="n">
        <v>16039</v>
      </c>
      <c r="I129" s="12" t="n">
        <v>267</v>
      </c>
      <c r="J129" s="13" t="n">
        <f aca="false">H129*I129</f>
        <v>4282413</v>
      </c>
      <c r="K129" s="14" t="s">
        <v>24</v>
      </c>
      <c r="L129" s="8" t="s">
        <v>179</v>
      </c>
      <c r="M129" s="15" t="s">
        <v>64</v>
      </c>
      <c r="N129" s="16" t="n">
        <v>3.5</v>
      </c>
      <c r="O129" s="28" t="s">
        <v>101</v>
      </c>
    </row>
    <row r="130" customFormat="false" ht="15" hidden="false" customHeight="false" outlineLevel="0" collapsed="false">
      <c r="A130" s="4" t="s">
        <v>418</v>
      </c>
      <c r="B130" s="5" t="s">
        <v>419</v>
      </c>
      <c r="C130" s="18" t="s">
        <v>30</v>
      </c>
      <c r="D130" s="19" t="s">
        <v>150</v>
      </c>
      <c r="E130" s="20" t="s">
        <v>42</v>
      </c>
      <c r="F130" s="21" t="s">
        <v>109</v>
      </c>
      <c r="G130" s="22" t="s">
        <v>34</v>
      </c>
      <c r="H130" s="23" t="n">
        <v>1932</v>
      </c>
      <c r="I130" s="24" t="n">
        <v>683</v>
      </c>
      <c r="J130" s="13" t="n">
        <f aca="false">H130*I130</f>
        <v>1319556</v>
      </c>
      <c r="K130" s="14" t="s">
        <v>24</v>
      </c>
      <c r="L130" s="20" t="s">
        <v>165</v>
      </c>
      <c r="M130" s="26" t="s">
        <v>151</v>
      </c>
      <c r="N130" s="27" t="n">
        <v>8.3</v>
      </c>
      <c r="O130" s="28" t="s">
        <v>236</v>
      </c>
    </row>
    <row r="131" customFormat="false" ht="15" hidden="false" customHeight="false" outlineLevel="0" collapsed="false">
      <c r="A131" s="4" t="s">
        <v>420</v>
      </c>
      <c r="B131" s="5" t="s">
        <v>421</v>
      </c>
      <c r="C131" s="18" t="s">
        <v>30</v>
      </c>
      <c r="D131" s="29" t="s">
        <v>59</v>
      </c>
      <c r="E131" s="8" t="s">
        <v>21</v>
      </c>
      <c r="F131" s="9" t="s">
        <v>68</v>
      </c>
      <c r="G131" s="10" t="s">
        <v>110</v>
      </c>
      <c r="H131" s="11" t="n">
        <v>3712</v>
      </c>
      <c r="I131" s="12" t="n">
        <v>1079</v>
      </c>
      <c r="J131" s="13" t="n">
        <f aca="false">H131*I131</f>
        <v>4005248</v>
      </c>
      <c r="K131" s="14" t="s">
        <v>24</v>
      </c>
      <c r="L131" s="8" t="s">
        <v>25</v>
      </c>
      <c r="M131" s="15" t="s">
        <v>55</v>
      </c>
      <c r="N131" s="16" t="n">
        <v>7</v>
      </c>
      <c r="O131" s="38"/>
    </row>
    <row r="132" customFormat="false" ht="15" hidden="false" customHeight="false" outlineLevel="0" collapsed="false">
      <c r="A132" s="4" t="s">
        <v>422</v>
      </c>
      <c r="B132" s="5" t="s">
        <v>423</v>
      </c>
      <c r="C132" s="31" t="s">
        <v>85</v>
      </c>
      <c r="D132" s="19" t="s">
        <v>242</v>
      </c>
      <c r="E132" s="20" t="s">
        <v>68</v>
      </c>
      <c r="F132" s="21" t="s">
        <v>131</v>
      </c>
      <c r="G132" s="22" t="s">
        <v>94</v>
      </c>
      <c r="H132" s="23" t="n">
        <v>53306</v>
      </c>
      <c r="I132" s="24" t="n">
        <v>4242</v>
      </c>
      <c r="J132" s="13" t="n">
        <f aca="false">H132*I132</f>
        <v>226124052</v>
      </c>
      <c r="K132" s="25" t="s">
        <v>35</v>
      </c>
      <c r="L132" s="20" t="s">
        <v>95</v>
      </c>
      <c r="M132" s="26" t="s">
        <v>64</v>
      </c>
      <c r="N132" s="27" t="n">
        <v>1.8</v>
      </c>
      <c r="O132" s="28" t="s">
        <v>162</v>
      </c>
    </row>
    <row r="133" customFormat="false" ht="15" hidden="false" customHeight="false" outlineLevel="0" collapsed="false">
      <c r="A133" s="4" t="s">
        <v>424</v>
      </c>
      <c r="B133" s="5" t="s">
        <v>425</v>
      </c>
      <c r="C133" s="6" t="s">
        <v>19</v>
      </c>
      <c r="D133" s="29" t="s">
        <v>426</v>
      </c>
      <c r="E133" s="8" t="s">
        <v>147</v>
      </c>
      <c r="F133" s="9" t="s">
        <v>33</v>
      </c>
      <c r="G133" s="10" t="s">
        <v>427</v>
      </c>
      <c r="H133" s="11" t="n">
        <v>4781</v>
      </c>
      <c r="I133" s="12" t="n">
        <v>424</v>
      </c>
      <c r="J133" s="13" t="n">
        <f aca="false">H133*I133</f>
        <v>2027144</v>
      </c>
      <c r="K133" s="36" t="s">
        <v>35</v>
      </c>
      <c r="L133" s="8" t="s">
        <v>309</v>
      </c>
      <c r="M133" s="15" t="s">
        <v>151</v>
      </c>
      <c r="N133" s="16" t="n">
        <v>4.9</v>
      </c>
      <c r="O133" s="28" t="s">
        <v>199</v>
      </c>
    </row>
    <row r="134" customFormat="false" ht="15" hidden="false" customHeight="false" outlineLevel="0" collapsed="false">
      <c r="A134" s="4" t="s">
        <v>428</v>
      </c>
      <c r="B134" s="5" t="s">
        <v>429</v>
      </c>
      <c r="C134" s="18" t="s">
        <v>30</v>
      </c>
      <c r="D134" s="19" t="s">
        <v>31</v>
      </c>
      <c r="E134" s="20" t="s">
        <v>42</v>
      </c>
      <c r="F134" s="21" t="s">
        <v>109</v>
      </c>
      <c r="G134" s="22" t="s">
        <v>62</v>
      </c>
      <c r="H134" s="23" t="n">
        <v>3230</v>
      </c>
      <c r="I134" s="24" t="n">
        <v>892</v>
      </c>
      <c r="J134" s="13" t="n">
        <f aca="false">H134*I134</f>
        <v>2881160</v>
      </c>
      <c r="K134" s="14" t="s">
        <v>24</v>
      </c>
      <c r="L134" s="20" t="s">
        <v>45</v>
      </c>
      <c r="M134" s="26" t="s">
        <v>37</v>
      </c>
      <c r="N134" s="27" t="n">
        <v>6.6</v>
      </c>
      <c r="O134" s="17" t="s">
        <v>27</v>
      </c>
    </row>
    <row r="135" customFormat="false" ht="15" hidden="false" customHeight="false" outlineLevel="0" collapsed="false">
      <c r="A135" s="4" t="s">
        <v>430</v>
      </c>
      <c r="B135" s="5" t="s">
        <v>431</v>
      </c>
      <c r="C135" s="18" t="s">
        <v>30</v>
      </c>
      <c r="D135" s="29" t="s">
        <v>150</v>
      </c>
      <c r="E135" s="8" t="s">
        <v>60</v>
      </c>
      <c r="F135" s="37" t="s">
        <v>222</v>
      </c>
      <c r="G135" s="10" t="s">
        <v>44</v>
      </c>
      <c r="H135" s="11" t="n">
        <v>3360</v>
      </c>
      <c r="I135" s="12" t="n">
        <v>681</v>
      </c>
      <c r="J135" s="13" t="n">
        <f aca="false">H135*I135</f>
        <v>2288160</v>
      </c>
      <c r="K135" s="36" t="s">
        <v>35</v>
      </c>
      <c r="L135" s="8" t="s">
        <v>70</v>
      </c>
      <c r="M135" s="15" t="s">
        <v>37</v>
      </c>
      <c r="N135" s="16" t="n">
        <v>4.2</v>
      </c>
      <c r="O135" s="28" t="s">
        <v>82</v>
      </c>
    </row>
    <row r="136" customFormat="false" ht="15" hidden="false" customHeight="false" outlineLevel="0" collapsed="false">
      <c r="A136" s="4" t="s">
        <v>432</v>
      </c>
      <c r="B136" s="5" t="s">
        <v>433</v>
      </c>
      <c r="C136" s="6" t="s">
        <v>19</v>
      </c>
      <c r="D136" s="34" t="s">
        <v>434</v>
      </c>
      <c r="E136" s="20" t="s">
        <v>158</v>
      </c>
      <c r="F136" s="21" t="s">
        <v>32</v>
      </c>
      <c r="G136" s="22" t="s">
        <v>267</v>
      </c>
      <c r="H136" s="23" t="n">
        <v>7505</v>
      </c>
      <c r="I136" s="24" t="n">
        <v>2009</v>
      </c>
      <c r="J136" s="13" t="n">
        <f aca="false">H136*I136</f>
        <v>15077545</v>
      </c>
      <c r="K136" s="14" t="s">
        <v>24</v>
      </c>
      <c r="L136" s="20" t="s">
        <v>264</v>
      </c>
      <c r="M136" s="26" t="s">
        <v>127</v>
      </c>
      <c r="N136" s="27" t="n">
        <v>5.1</v>
      </c>
      <c r="O136" s="35"/>
    </row>
    <row r="137" customFormat="false" ht="15" hidden="false" customHeight="false" outlineLevel="0" collapsed="false">
      <c r="A137" s="4" t="s">
        <v>435</v>
      </c>
      <c r="B137" s="5" t="s">
        <v>436</v>
      </c>
      <c r="C137" s="30" t="s">
        <v>50</v>
      </c>
      <c r="D137" s="29" t="s">
        <v>209</v>
      </c>
      <c r="E137" s="8" t="s">
        <v>147</v>
      </c>
      <c r="F137" s="9" t="s">
        <v>32</v>
      </c>
      <c r="G137" s="10" t="s">
        <v>69</v>
      </c>
      <c r="H137" s="11" t="n">
        <v>473</v>
      </c>
      <c r="I137" s="12" t="n">
        <v>54215</v>
      </c>
      <c r="J137" s="13" t="n">
        <f aca="false">H137*I137</f>
        <v>25643695</v>
      </c>
      <c r="K137" s="36" t="s">
        <v>35</v>
      </c>
      <c r="L137" s="8" t="s">
        <v>298</v>
      </c>
      <c r="M137" s="15" t="s">
        <v>26</v>
      </c>
      <c r="N137" s="16" t="n">
        <v>11.1</v>
      </c>
      <c r="O137" s="28" t="s">
        <v>82</v>
      </c>
    </row>
    <row r="138" customFormat="false" ht="15" hidden="false" customHeight="false" outlineLevel="0" collapsed="false">
      <c r="A138" s="4" t="s">
        <v>437</v>
      </c>
      <c r="B138" s="5" t="s">
        <v>438</v>
      </c>
      <c r="C138" s="30" t="s">
        <v>50</v>
      </c>
      <c r="D138" s="19" t="s">
        <v>67</v>
      </c>
      <c r="E138" s="20" t="s">
        <v>32</v>
      </c>
      <c r="F138" s="21" t="s">
        <v>21</v>
      </c>
      <c r="G138" s="22" t="s">
        <v>215</v>
      </c>
      <c r="H138" s="23" t="n">
        <v>808</v>
      </c>
      <c r="I138" s="24" t="n">
        <v>2312</v>
      </c>
      <c r="J138" s="13" t="n">
        <f aca="false">H138*I138</f>
        <v>1868096</v>
      </c>
      <c r="K138" s="14" t="s">
        <v>24</v>
      </c>
      <c r="L138" s="20" t="s">
        <v>298</v>
      </c>
      <c r="M138" s="26" t="s">
        <v>26</v>
      </c>
      <c r="N138" s="27" t="n">
        <v>12.7</v>
      </c>
      <c r="O138" s="28" t="s">
        <v>199</v>
      </c>
    </row>
    <row r="139" customFormat="false" ht="15" hidden="false" customHeight="false" outlineLevel="0" collapsed="false">
      <c r="A139" s="4" t="s">
        <v>439</v>
      </c>
      <c r="B139" s="5" t="s">
        <v>440</v>
      </c>
      <c r="C139" s="6" t="s">
        <v>19</v>
      </c>
      <c r="D139" s="7" t="s">
        <v>20</v>
      </c>
      <c r="E139" s="8" t="s">
        <v>21</v>
      </c>
      <c r="F139" s="9" t="s">
        <v>22</v>
      </c>
      <c r="G139" s="33" t="s">
        <v>378</v>
      </c>
      <c r="H139" s="11" t="n">
        <v>7325</v>
      </c>
      <c r="I139" s="12" t="n">
        <v>1089</v>
      </c>
      <c r="J139" s="13" t="n">
        <f aca="false">H139*I139</f>
        <v>7976925</v>
      </c>
      <c r="K139" s="36" t="s">
        <v>35</v>
      </c>
      <c r="L139" s="8" t="s">
        <v>76</v>
      </c>
      <c r="M139" s="15" t="s">
        <v>55</v>
      </c>
      <c r="N139" s="16" t="n">
        <v>4.4</v>
      </c>
      <c r="O139" s="28" t="s">
        <v>56</v>
      </c>
    </row>
    <row r="140" customFormat="false" ht="15" hidden="false" customHeight="false" outlineLevel="0" collapsed="false">
      <c r="A140" s="4" t="s">
        <v>441</v>
      </c>
      <c r="B140" s="5" t="s">
        <v>442</v>
      </c>
      <c r="C140" s="30" t="s">
        <v>50</v>
      </c>
      <c r="D140" s="19" t="s">
        <v>51</v>
      </c>
      <c r="E140" s="20" t="s">
        <v>99</v>
      </c>
      <c r="F140" s="21" t="s">
        <v>43</v>
      </c>
      <c r="G140" s="22" t="s">
        <v>297</v>
      </c>
      <c r="H140" s="23" t="n">
        <v>191</v>
      </c>
      <c r="I140" s="24" t="n">
        <v>18942</v>
      </c>
      <c r="J140" s="13" t="n">
        <f aca="false">H140*I140</f>
        <v>3617922</v>
      </c>
      <c r="K140" s="25" t="s">
        <v>35</v>
      </c>
      <c r="L140" s="20" t="s">
        <v>319</v>
      </c>
      <c r="M140" s="26" t="s">
        <v>46</v>
      </c>
      <c r="N140" s="27" t="n">
        <v>8.7</v>
      </c>
      <c r="O140" s="28" t="s">
        <v>162</v>
      </c>
    </row>
    <row r="141" customFormat="false" ht="15" hidden="false" customHeight="false" outlineLevel="0" collapsed="false">
      <c r="A141" s="4" t="s">
        <v>443</v>
      </c>
      <c r="B141" s="5" t="s">
        <v>444</v>
      </c>
      <c r="C141" s="32" t="s">
        <v>122</v>
      </c>
      <c r="D141" s="29" t="s">
        <v>177</v>
      </c>
      <c r="E141" s="8" t="s">
        <v>99</v>
      </c>
      <c r="F141" s="9" t="s">
        <v>178</v>
      </c>
      <c r="G141" s="10" t="s">
        <v>225</v>
      </c>
      <c r="H141" s="11" t="n">
        <v>15612</v>
      </c>
      <c r="I141" s="12" t="n">
        <v>324</v>
      </c>
      <c r="J141" s="13" t="n">
        <f aca="false">H141*I141</f>
        <v>5058288</v>
      </c>
      <c r="K141" s="14" t="s">
        <v>24</v>
      </c>
      <c r="L141" s="8" t="s">
        <v>203</v>
      </c>
      <c r="M141" s="15" t="s">
        <v>127</v>
      </c>
      <c r="N141" s="16" t="n">
        <v>4</v>
      </c>
      <c r="O141" s="28" t="s">
        <v>199</v>
      </c>
    </row>
    <row r="142" customFormat="false" ht="15" hidden="false" customHeight="false" outlineLevel="0" collapsed="false">
      <c r="A142" s="4" t="s">
        <v>445</v>
      </c>
      <c r="B142" s="5" t="s">
        <v>446</v>
      </c>
      <c r="C142" s="18" t="s">
        <v>30</v>
      </c>
      <c r="D142" s="34" t="s">
        <v>154</v>
      </c>
      <c r="E142" s="20" t="s">
        <v>42</v>
      </c>
      <c r="F142" s="21" t="s">
        <v>81</v>
      </c>
      <c r="G142" s="22" t="s">
        <v>105</v>
      </c>
      <c r="H142" s="23" t="n">
        <v>1867</v>
      </c>
      <c r="I142" s="24" t="n">
        <v>1890</v>
      </c>
      <c r="J142" s="13" t="n">
        <f aca="false">H142*I142</f>
        <v>3528630</v>
      </c>
      <c r="K142" s="14" t="s">
        <v>24</v>
      </c>
      <c r="L142" s="20" t="s">
        <v>36</v>
      </c>
      <c r="M142" s="26" t="s">
        <v>46</v>
      </c>
      <c r="N142" s="27" t="n">
        <v>6</v>
      </c>
      <c r="O142" s="28" t="s">
        <v>96</v>
      </c>
    </row>
    <row r="143" customFormat="false" ht="15" hidden="false" customHeight="false" outlineLevel="0" collapsed="false">
      <c r="A143" s="4" t="s">
        <v>447</v>
      </c>
      <c r="B143" s="5" t="s">
        <v>448</v>
      </c>
      <c r="C143" s="30" t="s">
        <v>50</v>
      </c>
      <c r="D143" s="29" t="s">
        <v>73</v>
      </c>
      <c r="E143" s="8" t="s">
        <v>32</v>
      </c>
      <c r="F143" s="9" t="s">
        <v>43</v>
      </c>
      <c r="G143" s="10" t="s">
        <v>75</v>
      </c>
      <c r="H143" s="11" t="n">
        <v>527</v>
      </c>
      <c r="I143" s="12" t="n">
        <v>18311</v>
      </c>
      <c r="J143" s="13" t="n">
        <f aca="false">H143*I143</f>
        <v>9649897</v>
      </c>
      <c r="K143" s="36" t="s">
        <v>35</v>
      </c>
      <c r="L143" s="8" t="s">
        <v>319</v>
      </c>
      <c r="M143" s="15" t="s">
        <v>127</v>
      </c>
      <c r="N143" s="16" t="n">
        <v>11.5</v>
      </c>
      <c r="O143" s="28" t="s">
        <v>236</v>
      </c>
    </row>
    <row r="144" customFormat="false" ht="15" hidden="false" customHeight="false" outlineLevel="0" collapsed="false">
      <c r="A144" s="4" t="s">
        <v>449</v>
      </c>
      <c r="B144" s="5" t="s">
        <v>450</v>
      </c>
      <c r="C144" s="32" t="s">
        <v>122</v>
      </c>
      <c r="D144" s="19" t="s">
        <v>134</v>
      </c>
      <c r="E144" s="20" t="s">
        <v>124</v>
      </c>
      <c r="F144" s="21" t="s">
        <v>32</v>
      </c>
      <c r="G144" s="22" t="s">
        <v>23</v>
      </c>
      <c r="H144" s="23" t="n">
        <v>8728</v>
      </c>
      <c r="I144" s="24" t="n">
        <v>277</v>
      </c>
      <c r="J144" s="13" t="n">
        <f aca="false">H144*I144</f>
        <v>2417656</v>
      </c>
      <c r="K144" s="25" t="s">
        <v>35</v>
      </c>
      <c r="L144" s="20" t="s">
        <v>179</v>
      </c>
      <c r="M144" s="26" t="s">
        <v>37</v>
      </c>
      <c r="N144" s="27" t="n">
        <v>4.6</v>
      </c>
      <c r="O144" s="35"/>
    </row>
    <row r="145" customFormat="false" ht="15" hidden="false" customHeight="false" outlineLevel="0" collapsed="false">
      <c r="A145" s="4" t="s">
        <v>451</v>
      </c>
      <c r="B145" s="5" t="s">
        <v>452</v>
      </c>
      <c r="C145" s="32" t="s">
        <v>122</v>
      </c>
      <c r="D145" s="29" t="s">
        <v>177</v>
      </c>
      <c r="E145" s="8" t="s">
        <v>22</v>
      </c>
      <c r="F145" s="9" t="s">
        <v>104</v>
      </c>
      <c r="G145" s="10" t="s">
        <v>225</v>
      </c>
      <c r="H145" s="11" t="n">
        <v>12067</v>
      </c>
      <c r="I145" s="12" t="n">
        <v>349</v>
      </c>
      <c r="J145" s="13" t="n">
        <f aca="false">H145*I145</f>
        <v>4211383</v>
      </c>
      <c r="K145" s="14" t="s">
        <v>24</v>
      </c>
      <c r="L145" s="8" t="s">
        <v>137</v>
      </c>
      <c r="M145" s="15" t="s">
        <v>151</v>
      </c>
      <c r="N145" s="16" t="n">
        <v>4.8</v>
      </c>
      <c r="O145" s="28" t="s">
        <v>101</v>
      </c>
    </row>
    <row r="146" customFormat="false" ht="15" hidden="false" customHeight="false" outlineLevel="0" collapsed="false">
      <c r="A146" s="4" t="s">
        <v>453</v>
      </c>
      <c r="B146" s="5" t="s">
        <v>454</v>
      </c>
      <c r="C146" s="30" t="s">
        <v>50</v>
      </c>
      <c r="D146" s="19" t="s">
        <v>51</v>
      </c>
      <c r="E146" s="20" t="s">
        <v>147</v>
      </c>
      <c r="F146" s="21" t="s">
        <v>210</v>
      </c>
      <c r="G146" s="22" t="s">
        <v>53</v>
      </c>
      <c r="H146" s="23" t="n">
        <v>210</v>
      </c>
      <c r="I146" s="24" t="n">
        <v>18429</v>
      </c>
      <c r="J146" s="13" t="n">
        <f aca="false">H146*I146</f>
        <v>3870090</v>
      </c>
      <c r="K146" s="25" t="s">
        <v>35</v>
      </c>
      <c r="L146" s="20" t="s">
        <v>455</v>
      </c>
      <c r="M146" s="26" t="s">
        <v>90</v>
      </c>
      <c r="N146" s="27" t="n">
        <v>11</v>
      </c>
      <c r="O146" s="35"/>
    </row>
    <row r="147" customFormat="false" ht="15" hidden="false" customHeight="false" outlineLevel="0" collapsed="false">
      <c r="A147" s="4" t="s">
        <v>456</v>
      </c>
      <c r="B147" s="5" t="s">
        <v>457</v>
      </c>
      <c r="C147" s="30" t="s">
        <v>50</v>
      </c>
      <c r="D147" s="29" t="s">
        <v>51</v>
      </c>
      <c r="E147" s="8" t="s">
        <v>32</v>
      </c>
      <c r="F147" s="9" t="s">
        <v>52</v>
      </c>
      <c r="G147" s="10" t="s">
        <v>291</v>
      </c>
      <c r="H147" s="11" t="n">
        <v>499</v>
      </c>
      <c r="I147" s="12" t="n">
        <v>18442</v>
      </c>
      <c r="J147" s="13" t="n">
        <f aca="false">H147*I147</f>
        <v>9202558</v>
      </c>
      <c r="K147" s="14" t="s">
        <v>24</v>
      </c>
      <c r="L147" s="8" t="s">
        <v>309</v>
      </c>
      <c r="M147" s="15" t="s">
        <v>37</v>
      </c>
      <c r="N147" s="16" t="n">
        <v>11</v>
      </c>
      <c r="O147" s="28" t="s">
        <v>199</v>
      </c>
    </row>
    <row r="148" customFormat="false" ht="15" hidden="false" customHeight="false" outlineLevel="0" collapsed="false">
      <c r="A148" s="4" t="s">
        <v>458</v>
      </c>
      <c r="B148" s="5" t="s">
        <v>459</v>
      </c>
      <c r="C148" s="18" t="s">
        <v>30</v>
      </c>
      <c r="D148" s="34" t="s">
        <v>154</v>
      </c>
      <c r="E148" s="20" t="s">
        <v>32</v>
      </c>
      <c r="F148" s="21" t="s">
        <v>109</v>
      </c>
      <c r="G148" s="22" t="s">
        <v>159</v>
      </c>
      <c r="H148" s="23" t="n">
        <v>3737</v>
      </c>
      <c r="I148" s="24" t="n">
        <v>1854</v>
      </c>
      <c r="J148" s="13" t="n">
        <f aca="false">H148*I148</f>
        <v>6928398</v>
      </c>
      <c r="K148" s="25" t="s">
        <v>35</v>
      </c>
      <c r="L148" s="20" t="s">
        <v>63</v>
      </c>
      <c r="M148" s="26" t="s">
        <v>46</v>
      </c>
      <c r="N148" s="27" t="n">
        <v>7.9</v>
      </c>
      <c r="O148" s="28" t="s">
        <v>101</v>
      </c>
    </row>
    <row r="149" customFormat="false" ht="15" hidden="false" customHeight="false" outlineLevel="0" collapsed="false">
      <c r="A149" s="4" t="s">
        <v>460</v>
      </c>
      <c r="B149" s="5" t="s">
        <v>461</v>
      </c>
      <c r="C149" s="30" t="s">
        <v>50</v>
      </c>
      <c r="D149" s="29" t="s">
        <v>67</v>
      </c>
      <c r="E149" s="8" t="s">
        <v>32</v>
      </c>
      <c r="F149" s="9" t="s">
        <v>210</v>
      </c>
      <c r="G149" s="10" t="s">
        <v>211</v>
      </c>
      <c r="H149" s="11" t="n">
        <v>266</v>
      </c>
      <c r="I149" s="12" t="n">
        <v>2207</v>
      </c>
      <c r="J149" s="13" t="n">
        <f aca="false">H149*I149</f>
        <v>587062</v>
      </c>
      <c r="K149" s="14" t="s">
        <v>24</v>
      </c>
      <c r="L149" s="8" t="s">
        <v>298</v>
      </c>
      <c r="M149" s="15" t="s">
        <v>46</v>
      </c>
      <c r="N149" s="16" t="n">
        <v>12</v>
      </c>
      <c r="O149" s="28" t="s">
        <v>96</v>
      </c>
    </row>
    <row r="150" customFormat="false" ht="15" hidden="false" customHeight="false" outlineLevel="0" collapsed="false">
      <c r="A150" s="4" t="s">
        <v>462</v>
      </c>
      <c r="B150" s="5" t="s">
        <v>463</v>
      </c>
      <c r="C150" s="30" t="s">
        <v>50</v>
      </c>
      <c r="D150" s="19" t="s">
        <v>209</v>
      </c>
      <c r="E150" s="20" t="s">
        <v>99</v>
      </c>
      <c r="F150" s="21" t="s">
        <v>210</v>
      </c>
      <c r="G150" s="22" t="s">
        <v>53</v>
      </c>
      <c r="H150" s="23" t="n">
        <v>316</v>
      </c>
      <c r="I150" s="24" t="n">
        <v>53208</v>
      </c>
      <c r="J150" s="13" t="n">
        <f aca="false">H150*I150</f>
        <v>16813728</v>
      </c>
      <c r="K150" s="25" t="s">
        <v>35</v>
      </c>
      <c r="L150" s="20" t="s">
        <v>319</v>
      </c>
      <c r="M150" s="26" t="s">
        <v>46</v>
      </c>
      <c r="N150" s="27" t="n">
        <v>12.8</v>
      </c>
      <c r="O150" s="28" t="s">
        <v>162</v>
      </c>
    </row>
    <row r="151" customFormat="false" ht="15" hidden="false" customHeight="false" outlineLevel="0" collapsed="false">
      <c r="A151" s="4" t="s">
        <v>464</v>
      </c>
      <c r="B151" s="5" t="s">
        <v>465</v>
      </c>
      <c r="C151" s="31" t="s">
        <v>85</v>
      </c>
      <c r="D151" s="29" t="s">
        <v>206</v>
      </c>
      <c r="E151" s="8" t="s">
        <v>99</v>
      </c>
      <c r="F151" s="9" t="s">
        <v>60</v>
      </c>
      <c r="G151" s="10" t="s">
        <v>322</v>
      </c>
      <c r="H151" s="11" t="n">
        <v>44715</v>
      </c>
      <c r="I151" s="12" t="n">
        <v>139</v>
      </c>
      <c r="J151" s="13" t="n">
        <f aca="false">H151*I151</f>
        <v>6215385</v>
      </c>
      <c r="K151" s="14" t="s">
        <v>24</v>
      </c>
      <c r="L151" s="8" t="s">
        <v>193</v>
      </c>
      <c r="M151" s="15" t="s">
        <v>37</v>
      </c>
      <c r="N151" s="16" t="n">
        <v>2.3</v>
      </c>
      <c r="O151" s="28" t="s">
        <v>47</v>
      </c>
    </row>
    <row r="152" customFormat="false" ht="15" hidden="false" customHeight="false" outlineLevel="0" collapsed="false">
      <c r="A152" s="4" t="s">
        <v>466</v>
      </c>
      <c r="B152" s="5" t="s">
        <v>467</v>
      </c>
      <c r="C152" s="18" t="s">
        <v>30</v>
      </c>
      <c r="D152" s="19" t="s">
        <v>79</v>
      </c>
      <c r="E152" s="20" t="s">
        <v>32</v>
      </c>
      <c r="F152" s="21" t="s">
        <v>61</v>
      </c>
      <c r="G152" s="22" t="s">
        <v>190</v>
      </c>
      <c r="H152" s="23" t="n">
        <v>2908</v>
      </c>
      <c r="I152" s="24" t="n">
        <v>755</v>
      </c>
      <c r="J152" s="13" t="n">
        <f aca="false">H152*I152</f>
        <v>2195540</v>
      </c>
      <c r="K152" s="14" t="s">
        <v>24</v>
      </c>
      <c r="L152" s="20" t="s">
        <v>70</v>
      </c>
      <c r="M152" s="26" t="s">
        <v>151</v>
      </c>
      <c r="N152" s="27" t="n">
        <v>5</v>
      </c>
      <c r="O152" s="28" t="s">
        <v>56</v>
      </c>
    </row>
    <row r="153" customFormat="false" ht="15" hidden="false" customHeight="false" outlineLevel="0" collapsed="false">
      <c r="A153" s="4" t="s">
        <v>468</v>
      </c>
      <c r="B153" s="5" t="s">
        <v>469</v>
      </c>
      <c r="C153" s="31" t="s">
        <v>85</v>
      </c>
      <c r="D153" s="7" t="s">
        <v>130</v>
      </c>
      <c r="E153" s="8" t="s">
        <v>81</v>
      </c>
      <c r="F153" s="9" t="s">
        <v>60</v>
      </c>
      <c r="G153" s="10" t="s">
        <v>88</v>
      </c>
      <c r="H153" s="11" t="n">
        <v>48178</v>
      </c>
      <c r="I153" s="12" t="n">
        <v>11.7</v>
      </c>
      <c r="J153" s="13" t="n">
        <f aca="false">H153*I153</f>
        <v>563682.6</v>
      </c>
      <c r="K153" s="14" t="s">
        <v>24</v>
      </c>
      <c r="L153" s="8" t="s">
        <v>89</v>
      </c>
      <c r="M153" s="15" t="s">
        <v>55</v>
      </c>
      <c r="N153" s="16" t="n">
        <v>2.1</v>
      </c>
      <c r="O153" s="28" t="s">
        <v>47</v>
      </c>
    </row>
    <row r="154" customFormat="false" ht="15" hidden="false" customHeight="false" outlineLevel="0" collapsed="false">
      <c r="A154" s="4" t="s">
        <v>470</v>
      </c>
      <c r="B154" s="5" t="s">
        <v>471</v>
      </c>
      <c r="C154" s="31" t="s">
        <v>85</v>
      </c>
      <c r="D154" s="19" t="s">
        <v>242</v>
      </c>
      <c r="E154" s="20" t="s">
        <v>147</v>
      </c>
      <c r="F154" s="21" t="s">
        <v>60</v>
      </c>
      <c r="G154" s="22" t="s">
        <v>246</v>
      </c>
      <c r="H154" s="23" t="n">
        <v>43975</v>
      </c>
      <c r="I154" s="24" t="n">
        <v>4479</v>
      </c>
      <c r="J154" s="13" t="n">
        <f aca="false">H154*I154</f>
        <v>196964025</v>
      </c>
      <c r="K154" s="14" t="s">
        <v>24</v>
      </c>
      <c r="L154" s="20" t="s">
        <v>95</v>
      </c>
      <c r="M154" s="26" t="s">
        <v>64</v>
      </c>
      <c r="N154" s="27" t="n">
        <v>1.8</v>
      </c>
      <c r="O154" s="28" t="s">
        <v>236</v>
      </c>
    </row>
    <row r="155" customFormat="false" ht="15" hidden="false" customHeight="false" outlineLevel="0" collapsed="false">
      <c r="A155" s="4" t="s">
        <v>472</v>
      </c>
      <c r="B155" s="5" t="s">
        <v>473</v>
      </c>
      <c r="C155" s="31" t="s">
        <v>85</v>
      </c>
      <c r="D155" s="7" t="s">
        <v>146</v>
      </c>
      <c r="E155" s="8" t="s">
        <v>81</v>
      </c>
      <c r="F155" s="9" t="s">
        <v>32</v>
      </c>
      <c r="G155" s="10" t="s">
        <v>88</v>
      </c>
      <c r="H155" s="11" t="n">
        <v>56112</v>
      </c>
      <c r="I155" s="12" t="n">
        <v>584</v>
      </c>
      <c r="J155" s="13" t="n">
        <f aca="false">H155*I155</f>
        <v>32769408</v>
      </c>
      <c r="K155" s="14" t="s">
        <v>24</v>
      </c>
      <c r="L155" s="8" t="s">
        <v>95</v>
      </c>
      <c r="M155" s="15" t="s">
        <v>26</v>
      </c>
      <c r="N155" s="16" t="n">
        <v>1.9</v>
      </c>
      <c r="O155" s="28" t="s">
        <v>91</v>
      </c>
    </row>
    <row r="156" customFormat="false" ht="15" hidden="false" customHeight="false" outlineLevel="0" collapsed="false">
      <c r="A156" s="4" t="s">
        <v>474</v>
      </c>
      <c r="B156" s="5" t="s">
        <v>475</v>
      </c>
      <c r="C156" s="31" t="s">
        <v>85</v>
      </c>
      <c r="D156" s="34" t="s">
        <v>130</v>
      </c>
      <c r="E156" s="20" t="s">
        <v>68</v>
      </c>
      <c r="F156" s="21" t="s">
        <v>131</v>
      </c>
      <c r="G156" s="22" t="s">
        <v>88</v>
      </c>
      <c r="H156" s="23" t="n">
        <v>38784</v>
      </c>
      <c r="I156" s="24" t="n">
        <v>12.5</v>
      </c>
      <c r="J156" s="13" t="n">
        <f aca="false">H156*I156</f>
        <v>484800</v>
      </c>
      <c r="K156" s="14" t="s">
        <v>24</v>
      </c>
      <c r="L156" s="20" t="s">
        <v>119</v>
      </c>
      <c r="M156" s="26" t="s">
        <v>55</v>
      </c>
      <c r="N156" s="27" t="n">
        <v>2.7</v>
      </c>
      <c r="O156" s="28" t="s">
        <v>101</v>
      </c>
    </row>
    <row r="157" customFormat="false" ht="15" hidden="false" customHeight="false" outlineLevel="0" collapsed="false">
      <c r="A157" s="4" t="s">
        <v>476</v>
      </c>
      <c r="B157" s="5" t="s">
        <v>477</v>
      </c>
      <c r="C157" s="18" t="s">
        <v>30</v>
      </c>
      <c r="D157" s="7" t="s">
        <v>154</v>
      </c>
      <c r="E157" s="8" t="s">
        <v>21</v>
      </c>
      <c r="F157" s="9" t="s">
        <v>33</v>
      </c>
      <c r="G157" s="10" t="s">
        <v>110</v>
      </c>
      <c r="H157" s="11" t="n">
        <v>3450</v>
      </c>
      <c r="I157" s="12" t="n">
        <v>1825</v>
      </c>
      <c r="J157" s="13" t="n">
        <f aca="false">H157*I157</f>
        <v>6296250</v>
      </c>
      <c r="K157" s="14" t="s">
        <v>24</v>
      </c>
      <c r="L157" s="8" t="s">
        <v>89</v>
      </c>
      <c r="M157" s="15" t="s">
        <v>64</v>
      </c>
      <c r="N157" s="16" t="n">
        <v>7.8</v>
      </c>
      <c r="O157" s="28" t="s">
        <v>38</v>
      </c>
    </row>
    <row r="158" customFormat="false" ht="15" hidden="false" customHeight="false" outlineLevel="0" collapsed="false">
      <c r="A158" s="4" t="s">
        <v>478</v>
      </c>
      <c r="B158" s="5" t="s">
        <v>479</v>
      </c>
      <c r="C158" s="31" t="s">
        <v>85</v>
      </c>
      <c r="D158" s="19" t="s">
        <v>206</v>
      </c>
      <c r="E158" s="20" t="s">
        <v>312</v>
      </c>
      <c r="F158" s="21" t="s">
        <v>21</v>
      </c>
      <c r="G158" s="22" t="s">
        <v>88</v>
      </c>
      <c r="H158" s="23" t="n">
        <v>30112</v>
      </c>
      <c r="I158" s="24" t="n">
        <v>147</v>
      </c>
      <c r="J158" s="13" t="n">
        <f aca="false">H158*I158</f>
        <v>4426464</v>
      </c>
      <c r="K158" s="14" t="s">
        <v>24</v>
      </c>
      <c r="L158" s="20" t="s">
        <v>193</v>
      </c>
      <c r="M158" s="26" t="s">
        <v>26</v>
      </c>
      <c r="N158" s="27" t="n">
        <v>1.5</v>
      </c>
      <c r="O158" s="28" t="s">
        <v>199</v>
      </c>
    </row>
    <row r="159" customFormat="false" ht="15" hidden="false" customHeight="false" outlineLevel="0" collapsed="false">
      <c r="A159" s="4" t="s">
        <v>480</v>
      </c>
      <c r="B159" s="5" t="s">
        <v>481</v>
      </c>
      <c r="C159" s="30" t="s">
        <v>50</v>
      </c>
      <c r="D159" s="29" t="s">
        <v>209</v>
      </c>
      <c r="E159" s="8" t="s">
        <v>32</v>
      </c>
      <c r="F159" s="9" t="s">
        <v>239</v>
      </c>
      <c r="G159" s="10" t="s">
        <v>297</v>
      </c>
      <c r="H159" s="11" t="n">
        <v>543</v>
      </c>
      <c r="I159" s="12" t="n">
        <v>54687</v>
      </c>
      <c r="J159" s="13" t="n">
        <f aca="false">H159*I159</f>
        <v>29695041</v>
      </c>
      <c r="K159" s="14" t="s">
        <v>24</v>
      </c>
      <c r="L159" s="8" t="s">
        <v>292</v>
      </c>
      <c r="M159" s="15" t="s">
        <v>37</v>
      </c>
      <c r="N159" s="16" t="n">
        <v>10.2</v>
      </c>
      <c r="O159" s="17" t="s">
        <v>27</v>
      </c>
    </row>
    <row r="160" customFormat="false" ht="15" hidden="false" customHeight="false" outlineLevel="0" collapsed="false">
      <c r="A160" s="4" t="s">
        <v>482</v>
      </c>
      <c r="B160" s="5" t="s">
        <v>483</v>
      </c>
      <c r="C160" s="18" t="s">
        <v>30</v>
      </c>
      <c r="D160" s="19" t="s">
        <v>79</v>
      </c>
      <c r="E160" s="20" t="s">
        <v>21</v>
      </c>
      <c r="F160" s="21" t="s">
        <v>68</v>
      </c>
      <c r="G160" s="22" t="s">
        <v>69</v>
      </c>
      <c r="H160" s="23" t="n">
        <v>3881</v>
      </c>
      <c r="I160" s="24" t="n">
        <v>743</v>
      </c>
      <c r="J160" s="13" t="n">
        <f aca="false">H160*I160</f>
        <v>2883583</v>
      </c>
      <c r="K160" s="14" t="s">
        <v>24</v>
      </c>
      <c r="L160" s="20" t="s">
        <v>76</v>
      </c>
      <c r="M160" s="26" t="s">
        <v>37</v>
      </c>
      <c r="N160" s="27" t="n">
        <v>7.6</v>
      </c>
      <c r="O160" s="28" t="s">
        <v>106</v>
      </c>
    </row>
    <row r="161" customFormat="false" ht="15" hidden="false" customHeight="false" outlineLevel="0" collapsed="false">
      <c r="A161" s="4" t="s">
        <v>484</v>
      </c>
      <c r="B161" s="5" t="s">
        <v>485</v>
      </c>
      <c r="C161" s="31" t="s">
        <v>85</v>
      </c>
      <c r="D161" s="7" t="s">
        <v>130</v>
      </c>
      <c r="E161" s="8" t="s">
        <v>147</v>
      </c>
      <c r="F161" s="9" t="s">
        <v>21</v>
      </c>
      <c r="G161" s="10" t="s">
        <v>100</v>
      </c>
      <c r="H161" s="11" t="n">
        <v>36179</v>
      </c>
      <c r="I161" s="12" t="n">
        <v>12.6</v>
      </c>
      <c r="J161" s="13" t="n">
        <f aca="false">H161*I161</f>
        <v>455855.4</v>
      </c>
      <c r="K161" s="14" t="s">
        <v>24</v>
      </c>
      <c r="L161" s="8" t="s">
        <v>119</v>
      </c>
      <c r="M161" s="15" t="s">
        <v>46</v>
      </c>
      <c r="N161" s="16" t="n">
        <v>2.5</v>
      </c>
      <c r="O161" s="28" t="s">
        <v>162</v>
      </c>
    </row>
    <row r="162" customFormat="false" ht="15" hidden="false" customHeight="false" outlineLevel="0" collapsed="false">
      <c r="A162" s="4" t="s">
        <v>486</v>
      </c>
      <c r="B162" s="5" t="s">
        <v>487</v>
      </c>
      <c r="C162" s="32" t="s">
        <v>122</v>
      </c>
      <c r="D162" s="19" t="s">
        <v>202</v>
      </c>
      <c r="E162" s="20" t="s">
        <v>99</v>
      </c>
      <c r="F162" s="21" t="s">
        <v>104</v>
      </c>
      <c r="G162" s="22" t="s">
        <v>261</v>
      </c>
      <c r="H162" s="23" t="n">
        <v>14841</v>
      </c>
      <c r="I162" s="24" t="n">
        <v>611</v>
      </c>
      <c r="J162" s="13" t="n">
        <f aca="false">H162*I162</f>
        <v>9067851</v>
      </c>
      <c r="K162" s="14" t="s">
        <v>24</v>
      </c>
      <c r="L162" s="20" t="s">
        <v>395</v>
      </c>
      <c r="M162" s="26" t="s">
        <v>90</v>
      </c>
      <c r="N162" s="27" t="n">
        <v>4.6</v>
      </c>
      <c r="O162" s="28" t="s">
        <v>199</v>
      </c>
    </row>
    <row r="163" customFormat="false" ht="15" hidden="false" customHeight="false" outlineLevel="0" collapsed="false">
      <c r="A163" s="4" t="s">
        <v>488</v>
      </c>
      <c r="B163" s="5" t="s">
        <v>489</v>
      </c>
      <c r="C163" s="31" t="s">
        <v>85</v>
      </c>
      <c r="D163" s="29" t="s">
        <v>86</v>
      </c>
      <c r="E163" s="8" t="s">
        <v>81</v>
      </c>
      <c r="F163" s="9" t="s">
        <v>21</v>
      </c>
      <c r="G163" s="10" t="s">
        <v>88</v>
      </c>
      <c r="H163" s="11" t="n">
        <v>47870</v>
      </c>
      <c r="I163" s="12" t="n">
        <v>85</v>
      </c>
      <c r="J163" s="13" t="n">
        <f aca="false">H163*I163</f>
        <v>4068950</v>
      </c>
      <c r="K163" s="14" t="s">
        <v>24</v>
      </c>
      <c r="L163" s="8" t="s">
        <v>119</v>
      </c>
      <c r="M163" s="15" t="s">
        <v>127</v>
      </c>
      <c r="N163" s="16" t="n">
        <v>2.5</v>
      </c>
      <c r="O163" s="28" t="s">
        <v>236</v>
      </c>
    </row>
    <row r="164" customFormat="false" ht="15" hidden="false" customHeight="false" outlineLevel="0" collapsed="false">
      <c r="A164" s="4" t="s">
        <v>490</v>
      </c>
      <c r="B164" s="5" t="s">
        <v>491</v>
      </c>
      <c r="C164" s="30" t="s">
        <v>50</v>
      </c>
      <c r="D164" s="19" t="s">
        <v>73</v>
      </c>
      <c r="E164" s="20" t="s">
        <v>99</v>
      </c>
      <c r="F164" s="21" t="s">
        <v>52</v>
      </c>
      <c r="G164" s="22" t="s">
        <v>291</v>
      </c>
      <c r="H164" s="23" t="n">
        <v>510</v>
      </c>
      <c r="I164" s="24" t="n">
        <v>18785</v>
      </c>
      <c r="J164" s="13" t="n">
        <f aca="false">H164*I164</f>
        <v>9580350</v>
      </c>
      <c r="K164" s="14" t="s">
        <v>24</v>
      </c>
      <c r="L164" s="20" t="s">
        <v>309</v>
      </c>
      <c r="M164" s="26" t="s">
        <v>127</v>
      </c>
      <c r="N164" s="27" t="n">
        <v>10.7</v>
      </c>
      <c r="O164" s="28" t="s">
        <v>236</v>
      </c>
    </row>
    <row r="165" customFormat="false" ht="15" hidden="false" customHeight="false" outlineLevel="0" collapsed="false">
      <c r="A165" s="4" t="s">
        <v>492</v>
      </c>
      <c r="B165" s="5" t="s">
        <v>493</v>
      </c>
      <c r="C165" s="6" t="s">
        <v>19</v>
      </c>
      <c r="D165" s="7" t="s">
        <v>434</v>
      </c>
      <c r="E165" s="8" t="s">
        <v>21</v>
      </c>
      <c r="F165" s="9" t="s">
        <v>21</v>
      </c>
      <c r="G165" s="10" t="s">
        <v>427</v>
      </c>
      <c r="H165" s="11" t="n">
        <v>4166</v>
      </c>
      <c r="I165" s="12" t="n">
        <v>1893</v>
      </c>
      <c r="J165" s="13" t="n">
        <f aca="false">H165*I165</f>
        <v>7886238</v>
      </c>
      <c r="K165" s="14" t="s">
        <v>24</v>
      </c>
      <c r="L165" s="8" t="s">
        <v>25</v>
      </c>
      <c r="M165" s="15" t="s">
        <v>26</v>
      </c>
      <c r="N165" s="16" t="n">
        <v>4.2</v>
      </c>
      <c r="O165" s="28" t="s">
        <v>82</v>
      </c>
    </row>
    <row r="166" customFormat="false" ht="15" hidden="false" customHeight="false" outlineLevel="0" collapsed="false">
      <c r="A166" s="4" t="s">
        <v>494</v>
      </c>
      <c r="B166" s="5" t="s">
        <v>495</v>
      </c>
      <c r="C166" s="18" t="s">
        <v>30</v>
      </c>
      <c r="D166" s="19" t="s">
        <v>67</v>
      </c>
      <c r="E166" s="20" t="s">
        <v>60</v>
      </c>
      <c r="F166" s="21" t="s">
        <v>68</v>
      </c>
      <c r="G166" s="22" t="s">
        <v>105</v>
      </c>
      <c r="H166" s="23" t="n">
        <v>2488</v>
      </c>
      <c r="I166" s="24" t="n">
        <v>2229</v>
      </c>
      <c r="J166" s="13" t="n">
        <f aca="false">H166*I166</f>
        <v>5545752</v>
      </c>
      <c r="K166" s="14" t="s">
        <v>24</v>
      </c>
      <c r="L166" s="20" t="s">
        <v>45</v>
      </c>
      <c r="M166" s="26" t="s">
        <v>151</v>
      </c>
      <c r="N166" s="27" t="n">
        <v>7.1</v>
      </c>
      <c r="O166" s="28" t="s">
        <v>274</v>
      </c>
    </row>
    <row r="167" customFormat="false" ht="15" hidden="false" customHeight="false" outlineLevel="0" collapsed="false">
      <c r="A167" s="4" t="s">
        <v>496</v>
      </c>
      <c r="B167" s="5" t="s">
        <v>497</v>
      </c>
      <c r="C167" s="31" t="s">
        <v>85</v>
      </c>
      <c r="D167" s="29" t="s">
        <v>86</v>
      </c>
      <c r="E167" s="8" t="s">
        <v>22</v>
      </c>
      <c r="F167" s="9" t="s">
        <v>21</v>
      </c>
      <c r="G167" s="10" t="s">
        <v>246</v>
      </c>
      <c r="H167" s="11" t="n">
        <v>43080</v>
      </c>
      <c r="I167" s="12" t="n">
        <v>84.3</v>
      </c>
      <c r="J167" s="13" t="n">
        <f aca="false">H167*I167</f>
        <v>3631644</v>
      </c>
      <c r="K167" s="14" t="s">
        <v>24</v>
      </c>
      <c r="L167" s="8" t="s">
        <v>119</v>
      </c>
      <c r="M167" s="15" t="s">
        <v>127</v>
      </c>
      <c r="N167" s="16" t="n">
        <v>2</v>
      </c>
      <c r="O167" s="28" t="s">
        <v>106</v>
      </c>
    </row>
    <row r="168" customFormat="false" ht="15" hidden="false" customHeight="false" outlineLevel="0" collapsed="false">
      <c r="A168" s="4" t="s">
        <v>498</v>
      </c>
      <c r="B168" s="5" t="s">
        <v>499</v>
      </c>
      <c r="C168" s="18" t="s">
        <v>30</v>
      </c>
      <c r="D168" s="19" t="s">
        <v>79</v>
      </c>
      <c r="E168" s="20" t="s">
        <v>21</v>
      </c>
      <c r="F168" s="21" t="s">
        <v>104</v>
      </c>
      <c r="G168" s="22" t="s">
        <v>80</v>
      </c>
      <c r="H168" s="23" t="n">
        <v>3725</v>
      </c>
      <c r="I168" s="24" t="n">
        <v>723</v>
      </c>
      <c r="J168" s="13" t="n">
        <f aca="false">H168*I168</f>
        <v>2693175</v>
      </c>
      <c r="K168" s="25" t="s">
        <v>35</v>
      </c>
      <c r="L168" s="20" t="s">
        <v>165</v>
      </c>
      <c r="M168" s="26" t="s">
        <v>26</v>
      </c>
      <c r="N168" s="27" t="n">
        <v>5.9</v>
      </c>
      <c r="O168" s="35"/>
    </row>
    <row r="169" customFormat="false" ht="15" hidden="false" customHeight="false" outlineLevel="0" collapsed="false">
      <c r="A169" s="4" t="s">
        <v>500</v>
      </c>
      <c r="B169" s="5" t="s">
        <v>501</v>
      </c>
      <c r="C169" s="30" t="s">
        <v>50</v>
      </c>
      <c r="D169" s="29" t="s">
        <v>67</v>
      </c>
      <c r="E169" s="8" t="s">
        <v>74</v>
      </c>
      <c r="F169" s="9" t="s">
        <v>32</v>
      </c>
      <c r="G169" s="10" t="s">
        <v>53</v>
      </c>
      <c r="H169" s="11" t="n">
        <v>287</v>
      </c>
      <c r="I169" s="12" t="n">
        <v>2345</v>
      </c>
      <c r="J169" s="13" t="n">
        <f aca="false">H169*I169</f>
        <v>673015</v>
      </c>
      <c r="K169" s="14" t="s">
        <v>24</v>
      </c>
      <c r="L169" s="8" t="s">
        <v>25</v>
      </c>
      <c r="M169" s="15" t="s">
        <v>26</v>
      </c>
      <c r="N169" s="16" t="n">
        <v>9.4</v>
      </c>
      <c r="O169" s="28" t="s">
        <v>236</v>
      </c>
    </row>
    <row r="170" customFormat="false" ht="15" hidden="false" customHeight="false" outlineLevel="0" collapsed="false">
      <c r="A170" s="4" t="s">
        <v>502</v>
      </c>
      <c r="B170" s="5" t="s">
        <v>503</v>
      </c>
      <c r="C170" s="6" t="s">
        <v>19</v>
      </c>
      <c r="D170" s="34" t="s">
        <v>20</v>
      </c>
      <c r="E170" s="20" t="s">
        <v>147</v>
      </c>
      <c r="F170" s="21" t="s">
        <v>32</v>
      </c>
      <c r="G170" s="39" t="s">
        <v>378</v>
      </c>
      <c r="H170" s="23" t="n">
        <v>6366</v>
      </c>
      <c r="I170" s="24" t="n">
        <v>1118</v>
      </c>
      <c r="J170" s="13" t="n">
        <f aca="false">H170*I170</f>
        <v>7117188</v>
      </c>
      <c r="K170" s="14" t="s">
        <v>24</v>
      </c>
      <c r="L170" s="20" t="s">
        <v>25</v>
      </c>
      <c r="M170" s="26" t="s">
        <v>37</v>
      </c>
      <c r="N170" s="27" t="n">
        <v>4.3</v>
      </c>
      <c r="O170" s="28" t="s">
        <v>236</v>
      </c>
    </row>
    <row r="171" customFormat="false" ht="15" hidden="false" customHeight="false" outlineLevel="0" collapsed="false">
      <c r="A171" s="4" t="s">
        <v>504</v>
      </c>
      <c r="B171" s="5" t="s">
        <v>505</v>
      </c>
      <c r="C171" s="31" t="s">
        <v>85</v>
      </c>
      <c r="D171" s="29" t="s">
        <v>86</v>
      </c>
      <c r="E171" s="8" t="s">
        <v>81</v>
      </c>
      <c r="F171" s="9" t="s">
        <v>131</v>
      </c>
      <c r="G171" s="10" t="s">
        <v>322</v>
      </c>
      <c r="H171" s="11" t="n">
        <v>30545</v>
      </c>
      <c r="I171" s="12" t="n">
        <v>80.4</v>
      </c>
      <c r="J171" s="13" t="n">
        <f aca="false">H171*I171</f>
        <v>2455818</v>
      </c>
      <c r="K171" s="14" t="s">
        <v>24</v>
      </c>
      <c r="L171" s="8" t="s">
        <v>119</v>
      </c>
      <c r="M171" s="15" t="s">
        <v>64</v>
      </c>
      <c r="N171" s="16" t="n">
        <v>1.7</v>
      </c>
      <c r="O171" s="28" t="s">
        <v>82</v>
      </c>
    </row>
    <row r="172" customFormat="false" ht="15" hidden="false" customHeight="false" outlineLevel="0" collapsed="false">
      <c r="A172" s="4" t="s">
        <v>506</v>
      </c>
      <c r="B172" s="5" t="s">
        <v>507</v>
      </c>
      <c r="C172" s="31" t="s">
        <v>85</v>
      </c>
      <c r="D172" s="19" t="s">
        <v>242</v>
      </c>
      <c r="E172" s="20" t="s">
        <v>68</v>
      </c>
      <c r="F172" s="21" t="s">
        <v>32</v>
      </c>
      <c r="G172" s="22" t="s">
        <v>94</v>
      </c>
      <c r="H172" s="23" t="n">
        <v>32204</v>
      </c>
      <c r="I172" s="24" t="n">
        <v>4468</v>
      </c>
      <c r="J172" s="13" t="n">
        <f aca="false">H172*I172</f>
        <v>143887472</v>
      </c>
      <c r="K172" s="25" t="s">
        <v>35</v>
      </c>
      <c r="L172" s="20" t="s">
        <v>119</v>
      </c>
      <c r="M172" s="26" t="s">
        <v>55</v>
      </c>
      <c r="N172" s="27" t="n">
        <v>1.9</v>
      </c>
      <c r="O172" s="28" t="s">
        <v>274</v>
      </c>
    </row>
    <row r="173" customFormat="false" ht="15" hidden="false" customHeight="false" outlineLevel="0" collapsed="false">
      <c r="A173" s="4" t="s">
        <v>508</v>
      </c>
      <c r="B173" s="5" t="s">
        <v>509</v>
      </c>
      <c r="C173" s="31" t="s">
        <v>85</v>
      </c>
      <c r="D173" s="7" t="s">
        <v>146</v>
      </c>
      <c r="E173" s="8" t="s">
        <v>68</v>
      </c>
      <c r="F173" s="9" t="s">
        <v>131</v>
      </c>
      <c r="G173" s="10" t="s">
        <v>94</v>
      </c>
      <c r="H173" s="11" t="n">
        <v>55222</v>
      </c>
      <c r="I173" s="12" t="n">
        <v>609</v>
      </c>
      <c r="J173" s="13" t="n">
        <f aca="false">H173*I173</f>
        <v>33630198</v>
      </c>
      <c r="K173" s="14" t="s">
        <v>24</v>
      </c>
      <c r="L173" s="8" t="s">
        <v>95</v>
      </c>
      <c r="M173" s="15" t="s">
        <v>127</v>
      </c>
      <c r="N173" s="16" t="n">
        <v>2.2</v>
      </c>
      <c r="O173" s="17" t="s">
        <v>27</v>
      </c>
    </row>
    <row r="174" customFormat="false" ht="15" hidden="false" customHeight="false" outlineLevel="0" collapsed="false">
      <c r="A174" s="4" t="s">
        <v>510</v>
      </c>
      <c r="B174" s="5" t="s">
        <v>511</v>
      </c>
      <c r="C174" s="18" t="s">
        <v>30</v>
      </c>
      <c r="D174" s="19" t="s">
        <v>79</v>
      </c>
      <c r="E174" s="20" t="s">
        <v>60</v>
      </c>
      <c r="F174" s="21" t="s">
        <v>158</v>
      </c>
      <c r="G174" s="22" t="s">
        <v>159</v>
      </c>
      <c r="H174" s="23" t="n">
        <v>4326</v>
      </c>
      <c r="I174" s="24" t="n">
        <v>733</v>
      </c>
      <c r="J174" s="13" t="n">
        <f aca="false">H174*I174</f>
        <v>3170958</v>
      </c>
      <c r="K174" s="14" t="s">
        <v>24</v>
      </c>
      <c r="L174" s="20" t="s">
        <v>45</v>
      </c>
      <c r="M174" s="26" t="s">
        <v>55</v>
      </c>
      <c r="N174" s="27" t="n">
        <v>5.4</v>
      </c>
      <c r="O174" s="17" t="s">
        <v>27</v>
      </c>
    </row>
    <row r="175" customFormat="false" ht="15" hidden="false" customHeight="false" outlineLevel="0" collapsed="false">
      <c r="A175" s="4" t="s">
        <v>512</v>
      </c>
      <c r="B175" s="5" t="s">
        <v>513</v>
      </c>
      <c r="C175" s="31" t="s">
        <v>85</v>
      </c>
      <c r="D175" s="29" t="s">
        <v>86</v>
      </c>
      <c r="E175" s="8" t="s">
        <v>81</v>
      </c>
      <c r="F175" s="9" t="s">
        <v>60</v>
      </c>
      <c r="G175" s="10" t="s">
        <v>322</v>
      </c>
      <c r="H175" s="11" t="n">
        <v>29928</v>
      </c>
      <c r="I175" s="12" t="n">
        <v>85.6</v>
      </c>
      <c r="J175" s="13" t="n">
        <f aca="false">H175*I175</f>
        <v>2561836.8</v>
      </c>
      <c r="K175" s="36" t="s">
        <v>35</v>
      </c>
      <c r="L175" s="8" t="s">
        <v>193</v>
      </c>
      <c r="M175" s="15" t="s">
        <v>151</v>
      </c>
      <c r="N175" s="16" t="n">
        <v>2.4</v>
      </c>
      <c r="O175" s="28" t="s">
        <v>91</v>
      </c>
    </row>
    <row r="176" customFormat="false" ht="15" hidden="false" customHeight="false" outlineLevel="0" collapsed="false">
      <c r="A176" s="4" t="s">
        <v>514</v>
      </c>
      <c r="B176" s="5" t="s">
        <v>515</v>
      </c>
      <c r="C176" s="18" t="s">
        <v>30</v>
      </c>
      <c r="D176" s="19" t="s">
        <v>31</v>
      </c>
      <c r="E176" s="20" t="s">
        <v>42</v>
      </c>
      <c r="F176" s="21" t="s">
        <v>141</v>
      </c>
      <c r="G176" s="22" t="s">
        <v>235</v>
      </c>
      <c r="H176" s="23" t="n">
        <v>5230</v>
      </c>
      <c r="I176" s="24" t="n">
        <v>883</v>
      </c>
      <c r="J176" s="13" t="n">
        <f aca="false">H176*I176</f>
        <v>4618090</v>
      </c>
      <c r="K176" s="25" t="s">
        <v>35</v>
      </c>
      <c r="L176" s="20" t="s">
        <v>45</v>
      </c>
      <c r="M176" s="26" t="s">
        <v>127</v>
      </c>
      <c r="N176" s="27" t="n">
        <v>6</v>
      </c>
      <c r="O176" s="28" t="s">
        <v>106</v>
      </c>
    </row>
    <row r="177" customFormat="false" ht="15" hidden="false" customHeight="false" outlineLevel="0" collapsed="false">
      <c r="A177" s="4" t="s">
        <v>516</v>
      </c>
      <c r="B177" s="5" t="s">
        <v>517</v>
      </c>
      <c r="C177" s="31" t="s">
        <v>85</v>
      </c>
      <c r="D177" s="29" t="s">
        <v>86</v>
      </c>
      <c r="E177" s="8" t="s">
        <v>99</v>
      </c>
      <c r="F177" s="9" t="s">
        <v>60</v>
      </c>
      <c r="G177" s="10" t="s">
        <v>182</v>
      </c>
      <c r="H177" s="11" t="n">
        <v>30343</v>
      </c>
      <c r="I177" s="12" t="n">
        <v>85.9</v>
      </c>
      <c r="J177" s="13" t="n">
        <f aca="false">H177*I177</f>
        <v>2606463.7</v>
      </c>
      <c r="K177" s="14" t="s">
        <v>24</v>
      </c>
      <c r="L177" s="8" t="s">
        <v>95</v>
      </c>
      <c r="M177" s="15" t="s">
        <v>64</v>
      </c>
      <c r="N177" s="16" t="n">
        <v>2.1</v>
      </c>
      <c r="O177" s="28" t="s">
        <v>162</v>
      </c>
    </row>
    <row r="178" customFormat="false" ht="15" hidden="false" customHeight="false" outlineLevel="0" collapsed="false">
      <c r="A178" s="4" t="s">
        <v>518</v>
      </c>
      <c r="B178" s="5" t="s">
        <v>519</v>
      </c>
      <c r="C178" s="32" t="s">
        <v>122</v>
      </c>
      <c r="D178" s="19" t="s">
        <v>134</v>
      </c>
      <c r="E178" s="20" t="s">
        <v>99</v>
      </c>
      <c r="F178" s="21" t="s">
        <v>42</v>
      </c>
      <c r="G178" s="22" t="s">
        <v>142</v>
      </c>
      <c r="H178" s="23" t="n">
        <v>16700</v>
      </c>
      <c r="I178" s="24" t="n">
        <v>261</v>
      </c>
      <c r="J178" s="13" t="n">
        <f aca="false">H178*I178</f>
        <v>4358700</v>
      </c>
      <c r="K178" s="14" t="s">
        <v>24</v>
      </c>
      <c r="L178" s="20" t="s">
        <v>137</v>
      </c>
      <c r="M178" s="26" t="s">
        <v>26</v>
      </c>
      <c r="N178" s="27" t="n">
        <v>4.4</v>
      </c>
      <c r="O178" s="28" t="s">
        <v>56</v>
      </c>
    </row>
    <row r="179" customFormat="false" ht="15" hidden="false" customHeight="false" outlineLevel="0" collapsed="false">
      <c r="A179" s="4" t="s">
        <v>520</v>
      </c>
      <c r="B179" s="5" t="s">
        <v>521</v>
      </c>
      <c r="C179" s="32" t="s">
        <v>122</v>
      </c>
      <c r="D179" s="29" t="s">
        <v>140</v>
      </c>
      <c r="E179" s="8" t="s">
        <v>124</v>
      </c>
      <c r="F179" s="9" t="s">
        <v>21</v>
      </c>
      <c r="G179" s="10" t="s">
        <v>142</v>
      </c>
      <c r="H179" s="11" t="n">
        <v>22127</v>
      </c>
      <c r="I179" s="12" t="n">
        <v>458</v>
      </c>
      <c r="J179" s="13" t="n">
        <f aca="false">H179*I179</f>
        <v>10134166</v>
      </c>
      <c r="K179" s="36" t="s">
        <v>35</v>
      </c>
      <c r="L179" s="8" t="s">
        <v>395</v>
      </c>
      <c r="M179" s="15" t="s">
        <v>46</v>
      </c>
      <c r="N179" s="16" t="n">
        <v>4.6</v>
      </c>
      <c r="O179" s="28" t="s">
        <v>82</v>
      </c>
    </row>
    <row r="180" customFormat="false" ht="15" hidden="false" customHeight="false" outlineLevel="0" collapsed="false">
      <c r="A180" s="4" t="s">
        <v>522</v>
      </c>
      <c r="B180" s="5" t="s">
        <v>523</v>
      </c>
      <c r="C180" s="18" t="s">
        <v>30</v>
      </c>
      <c r="D180" s="19" t="s">
        <v>59</v>
      </c>
      <c r="E180" s="20" t="s">
        <v>21</v>
      </c>
      <c r="F180" s="21" t="s">
        <v>210</v>
      </c>
      <c r="G180" s="22" t="s">
        <v>235</v>
      </c>
      <c r="H180" s="23" t="n">
        <v>2515</v>
      </c>
      <c r="I180" s="24" t="n">
        <v>1178</v>
      </c>
      <c r="J180" s="13" t="n">
        <f aca="false">H180*I180</f>
        <v>2962670</v>
      </c>
      <c r="K180" s="25" t="s">
        <v>35</v>
      </c>
      <c r="L180" s="20" t="s">
        <v>76</v>
      </c>
      <c r="M180" s="26" t="s">
        <v>151</v>
      </c>
      <c r="N180" s="27" t="n">
        <v>5</v>
      </c>
      <c r="O180" s="28" t="s">
        <v>56</v>
      </c>
    </row>
    <row r="181" customFormat="false" ht="15" hidden="false" customHeight="false" outlineLevel="0" collapsed="false">
      <c r="A181" s="4" t="s">
        <v>524</v>
      </c>
      <c r="B181" s="5" t="s">
        <v>525</v>
      </c>
      <c r="C181" s="31" t="s">
        <v>85</v>
      </c>
      <c r="D181" s="29" t="s">
        <v>242</v>
      </c>
      <c r="E181" s="8" t="s">
        <v>22</v>
      </c>
      <c r="F181" s="9" t="s">
        <v>131</v>
      </c>
      <c r="G181" s="10" t="s">
        <v>94</v>
      </c>
      <c r="H181" s="11" t="n">
        <v>34195</v>
      </c>
      <c r="I181" s="12" t="n">
        <v>4362</v>
      </c>
      <c r="J181" s="13" t="n">
        <f aca="false">H181*I181</f>
        <v>149158590</v>
      </c>
      <c r="K181" s="14" t="s">
        <v>24</v>
      </c>
      <c r="L181" s="8" t="s">
        <v>193</v>
      </c>
      <c r="M181" s="15" t="s">
        <v>26</v>
      </c>
      <c r="N181" s="16" t="n">
        <v>2.1</v>
      </c>
      <c r="O181" s="28" t="s">
        <v>47</v>
      </c>
    </row>
    <row r="182" customFormat="false" ht="15" hidden="false" customHeight="false" outlineLevel="0" collapsed="false">
      <c r="A182" s="4" t="s">
        <v>526</v>
      </c>
      <c r="B182" s="5" t="s">
        <v>527</v>
      </c>
      <c r="C182" s="18" t="s">
        <v>30</v>
      </c>
      <c r="D182" s="19" t="s">
        <v>79</v>
      </c>
      <c r="E182" s="20" t="s">
        <v>42</v>
      </c>
      <c r="F182" s="21" t="s">
        <v>210</v>
      </c>
      <c r="G182" s="22" t="s">
        <v>190</v>
      </c>
      <c r="H182" s="23" t="n">
        <v>3335</v>
      </c>
      <c r="I182" s="24" t="n">
        <v>724</v>
      </c>
      <c r="J182" s="13" t="n">
        <f aca="false">H182*I182</f>
        <v>2414540</v>
      </c>
      <c r="K182" s="25" t="s">
        <v>35</v>
      </c>
      <c r="L182" s="20" t="s">
        <v>25</v>
      </c>
      <c r="M182" s="26" t="s">
        <v>90</v>
      </c>
      <c r="N182" s="27" t="n">
        <v>8.8</v>
      </c>
      <c r="O182" s="28" t="s">
        <v>47</v>
      </c>
    </row>
    <row r="183" customFormat="false" ht="15" hidden="false" customHeight="false" outlineLevel="0" collapsed="false">
      <c r="A183" s="4" t="s">
        <v>528</v>
      </c>
      <c r="B183" s="5" t="s">
        <v>529</v>
      </c>
      <c r="C183" s="31" t="s">
        <v>85</v>
      </c>
      <c r="D183" s="7" t="s">
        <v>130</v>
      </c>
      <c r="E183" s="8" t="s">
        <v>22</v>
      </c>
      <c r="F183" s="9" t="s">
        <v>60</v>
      </c>
      <c r="G183" s="10" t="s">
        <v>246</v>
      </c>
      <c r="H183" s="11" t="n">
        <v>36252</v>
      </c>
      <c r="I183" s="12" t="n">
        <v>12.6</v>
      </c>
      <c r="J183" s="13" t="n">
        <f aca="false">H183*I183</f>
        <v>456775.2</v>
      </c>
      <c r="K183" s="36" t="s">
        <v>35</v>
      </c>
      <c r="L183" s="8" t="s">
        <v>119</v>
      </c>
      <c r="M183" s="15" t="s">
        <v>127</v>
      </c>
      <c r="N183" s="16" t="n">
        <v>2.5</v>
      </c>
      <c r="O183" s="28" t="s">
        <v>199</v>
      </c>
    </row>
    <row r="184" customFormat="false" ht="15" hidden="false" customHeight="false" outlineLevel="0" collapsed="false">
      <c r="A184" s="4" t="s">
        <v>530</v>
      </c>
      <c r="B184" s="5" t="s">
        <v>531</v>
      </c>
      <c r="C184" s="18" t="s">
        <v>30</v>
      </c>
      <c r="D184" s="19" t="s">
        <v>31</v>
      </c>
      <c r="E184" s="20" t="s">
        <v>32</v>
      </c>
      <c r="F184" s="21" t="s">
        <v>104</v>
      </c>
      <c r="G184" s="22" t="s">
        <v>190</v>
      </c>
      <c r="H184" s="23" t="n">
        <v>3956</v>
      </c>
      <c r="I184" s="24" t="n">
        <v>913</v>
      </c>
      <c r="J184" s="13" t="n">
        <f aca="false">H184*I184</f>
        <v>3611828</v>
      </c>
      <c r="K184" s="25" t="s">
        <v>35</v>
      </c>
      <c r="L184" s="20" t="s">
        <v>70</v>
      </c>
      <c r="M184" s="26" t="s">
        <v>151</v>
      </c>
      <c r="N184" s="27" t="n">
        <v>4.6</v>
      </c>
      <c r="O184" s="28" t="s">
        <v>106</v>
      </c>
    </row>
    <row r="185" customFormat="false" ht="15" hidden="false" customHeight="false" outlineLevel="0" collapsed="false">
      <c r="A185" s="4" t="s">
        <v>532</v>
      </c>
      <c r="B185" s="5" t="s">
        <v>533</v>
      </c>
      <c r="C185" s="18" t="s">
        <v>30</v>
      </c>
      <c r="D185" s="7" t="s">
        <v>154</v>
      </c>
      <c r="E185" s="8" t="s">
        <v>42</v>
      </c>
      <c r="F185" s="9" t="s">
        <v>141</v>
      </c>
      <c r="G185" s="10" t="s">
        <v>159</v>
      </c>
      <c r="H185" s="11" t="n">
        <v>3893</v>
      </c>
      <c r="I185" s="12" t="n">
        <v>1826</v>
      </c>
      <c r="J185" s="13" t="n">
        <f aca="false">H185*I185</f>
        <v>7108618</v>
      </c>
      <c r="K185" s="14" t="s">
        <v>24</v>
      </c>
      <c r="L185" s="8" t="s">
        <v>36</v>
      </c>
      <c r="M185" s="15" t="s">
        <v>127</v>
      </c>
      <c r="N185" s="16" t="n">
        <v>7.8</v>
      </c>
      <c r="O185" s="28" t="s">
        <v>91</v>
      </c>
    </row>
    <row r="186" customFormat="false" ht="15" hidden="false" customHeight="false" outlineLevel="0" collapsed="false">
      <c r="A186" s="4" t="s">
        <v>534</v>
      </c>
      <c r="B186" s="5" t="s">
        <v>535</v>
      </c>
      <c r="C186" s="30" t="s">
        <v>50</v>
      </c>
      <c r="D186" s="19" t="s">
        <v>73</v>
      </c>
      <c r="E186" s="20" t="s">
        <v>32</v>
      </c>
      <c r="F186" s="21" t="s">
        <v>239</v>
      </c>
      <c r="G186" s="22" t="s">
        <v>253</v>
      </c>
      <c r="H186" s="23" t="n">
        <v>889</v>
      </c>
      <c r="I186" s="24" t="n">
        <v>18761</v>
      </c>
      <c r="J186" s="13" t="n">
        <f aca="false">H186*I186</f>
        <v>16678529</v>
      </c>
      <c r="K186" s="14" t="s">
        <v>24</v>
      </c>
      <c r="L186" s="20" t="s">
        <v>54</v>
      </c>
      <c r="M186" s="26" t="s">
        <v>26</v>
      </c>
      <c r="N186" s="27" t="n">
        <v>8.6</v>
      </c>
      <c r="O186" s="28" t="s">
        <v>106</v>
      </c>
    </row>
    <row r="187" customFormat="false" ht="15" hidden="false" customHeight="false" outlineLevel="0" collapsed="false">
      <c r="A187" s="4" t="s">
        <v>536</v>
      </c>
      <c r="B187" s="5" t="s">
        <v>537</v>
      </c>
      <c r="C187" s="18" t="s">
        <v>30</v>
      </c>
      <c r="D187" s="29" t="s">
        <v>31</v>
      </c>
      <c r="E187" s="8" t="s">
        <v>60</v>
      </c>
      <c r="F187" s="9" t="s">
        <v>43</v>
      </c>
      <c r="G187" s="10" t="s">
        <v>110</v>
      </c>
      <c r="H187" s="11" t="n">
        <v>4676</v>
      </c>
      <c r="I187" s="12" t="n">
        <v>887</v>
      </c>
      <c r="J187" s="13" t="n">
        <f aca="false">H187*I187</f>
        <v>4147612</v>
      </c>
      <c r="K187" s="14" t="s">
        <v>24</v>
      </c>
      <c r="L187" s="8" t="s">
        <v>70</v>
      </c>
      <c r="M187" s="15" t="s">
        <v>55</v>
      </c>
      <c r="N187" s="16" t="n">
        <v>8.5</v>
      </c>
      <c r="O187" s="28" t="s">
        <v>38</v>
      </c>
    </row>
    <row r="188" customFormat="false" ht="15" hidden="false" customHeight="false" outlineLevel="0" collapsed="false">
      <c r="A188" s="4" t="s">
        <v>538</v>
      </c>
      <c r="B188" s="5" t="s">
        <v>539</v>
      </c>
      <c r="C188" s="18" t="s">
        <v>30</v>
      </c>
      <c r="D188" s="19" t="s">
        <v>150</v>
      </c>
      <c r="E188" s="20" t="s">
        <v>42</v>
      </c>
      <c r="F188" s="40" t="s">
        <v>222</v>
      </c>
      <c r="G188" s="22" t="s">
        <v>105</v>
      </c>
      <c r="H188" s="23" t="n">
        <v>2951</v>
      </c>
      <c r="I188" s="24" t="n">
        <v>684</v>
      </c>
      <c r="J188" s="13" t="n">
        <f aca="false">H188*I188</f>
        <v>2018484</v>
      </c>
      <c r="K188" s="14" t="s">
        <v>24</v>
      </c>
      <c r="L188" s="20" t="s">
        <v>264</v>
      </c>
      <c r="M188" s="26" t="s">
        <v>55</v>
      </c>
      <c r="N188" s="27" t="n">
        <v>3.9</v>
      </c>
      <c r="O188" s="28" t="s">
        <v>82</v>
      </c>
    </row>
    <row r="189" customFormat="false" ht="15" hidden="false" customHeight="false" outlineLevel="0" collapsed="false">
      <c r="A189" s="4" t="s">
        <v>540</v>
      </c>
      <c r="B189" s="5" t="s">
        <v>541</v>
      </c>
      <c r="C189" s="31" t="s">
        <v>85</v>
      </c>
      <c r="D189" s="29" t="s">
        <v>242</v>
      </c>
      <c r="E189" s="8" t="s">
        <v>68</v>
      </c>
      <c r="F189" s="9" t="s">
        <v>131</v>
      </c>
      <c r="G189" s="10" t="s">
        <v>88</v>
      </c>
      <c r="H189" s="11" t="n">
        <v>42074</v>
      </c>
      <c r="I189" s="12" t="n">
        <v>4208</v>
      </c>
      <c r="J189" s="13" t="n">
        <f aca="false">H189*I189</f>
        <v>177047392</v>
      </c>
      <c r="K189" s="14" t="s">
        <v>24</v>
      </c>
      <c r="L189" s="8" t="s">
        <v>119</v>
      </c>
      <c r="M189" s="15" t="s">
        <v>46</v>
      </c>
      <c r="N189" s="16" t="n">
        <v>1.9</v>
      </c>
      <c r="O189" s="38"/>
    </row>
    <row r="190" customFormat="false" ht="15" hidden="false" customHeight="false" outlineLevel="0" collapsed="false">
      <c r="A190" s="4" t="s">
        <v>542</v>
      </c>
      <c r="B190" s="5" t="s">
        <v>543</v>
      </c>
      <c r="C190" s="30" t="s">
        <v>50</v>
      </c>
      <c r="D190" s="19" t="s">
        <v>51</v>
      </c>
      <c r="E190" s="20" t="s">
        <v>147</v>
      </c>
      <c r="F190" s="21" t="s">
        <v>210</v>
      </c>
      <c r="G190" s="22" t="s">
        <v>215</v>
      </c>
      <c r="H190" s="23" t="n">
        <v>574</v>
      </c>
      <c r="I190" s="24" t="n">
        <v>18625</v>
      </c>
      <c r="J190" s="13" t="n">
        <f aca="false">H190*I190</f>
        <v>10690750</v>
      </c>
      <c r="K190" s="25" t="s">
        <v>35</v>
      </c>
      <c r="L190" s="20" t="s">
        <v>309</v>
      </c>
      <c r="M190" s="26" t="s">
        <v>37</v>
      </c>
      <c r="N190" s="27" t="n">
        <v>10.3</v>
      </c>
      <c r="O190" s="28" t="s">
        <v>162</v>
      </c>
    </row>
    <row r="191" customFormat="false" ht="15" hidden="false" customHeight="false" outlineLevel="0" collapsed="false">
      <c r="A191" s="4" t="s">
        <v>544</v>
      </c>
      <c r="B191" s="5" t="s">
        <v>545</v>
      </c>
      <c r="C191" s="30" t="s">
        <v>50</v>
      </c>
      <c r="D191" s="29" t="s">
        <v>209</v>
      </c>
      <c r="E191" s="8" t="s">
        <v>74</v>
      </c>
      <c r="F191" s="9" t="s">
        <v>22</v>
      </c>
      <c r="G191" s="10" t="s">
        <v>75</v>
      </c>
      <c r="H191" s="11" t="n">
        <v>332</v>
      </c>
      <c r="I191" s="12" t="n">
        <v>52000</v>
      </c>
      <c r="J191" s="13" t="n">
        <f aca="false">H191*I191</f>
        <v>17264000</v>
      </c>
      <c r="K191" s="14" t="s">
        <v>24</v>
      </c>
      <c r="L191" s="8" t="s">
        <v>298</v>
      </c>
      <c r="M191" s="15" t="s">
        <v>64</v>
      </c>
      <c r="N191" s="16" t="n">
        <v>10.2</v>
      </c>
      <c r="O191" s="28" t="s">
        <v>38</v>
      </c>
    </row>
    <row r="192" customFormat="false" ht="15" hidden="false" customHeight="false" outlineLevel="0" collapsed="false">
      <c r="A192" s="4" t="s">
        <v>546</v>
      </c>
      <c r="B192" s="5" t="s">
        <v>547</v>
      </c>
      <c r="C192" s="30" t="s">
        <v>50</v>
      </c>
      <c r="D192" s="19" t="s">
        <v>277</v>
      </c>
      <c r="E192" s="20" t="s">
        <v>74</v>
      </c>
      <c r="F192" s="21" t="s">
        <v>52</v>
      </c>
      <c r="G192" s="22" t="s">
        <v>371</v>
      </c>
      <c r="H192" s="23" t="n">
        <v>694</v>
      </c>
      <c r="I192" s="24" t="n">
        <v>34409</v>
      </c>
      <c r="J192" s="13" t="n">
        <f aca="false">H192*I192</f>
        <v>23879846</v>
      </c>
      <c r="K192" s="14" t="s">
        <v>24</v>
      </c>
      <c r="L192" s="20" t="s">
        <v>25</v>
      </c>
      <c r="M192" s="26" t="s">
        <v>55</v>
      </c>
      <c r="N192" s="27" t="n">
        <v>9.5</v>
      </c>
      <c r="O192" s="28" t="s">
        <v>96</v>
      </c>
    </row>
    <row r="193" customFormat="false" ht="15" hidden="false" customHeight="false" outlineLevel="0" collapsed="false">
      <c r="A193" s="4" t="s">
        <v>548</v>
      </c>
      <c r="B193" s="5" t="s">
        <v>549</v>
      </c>
      <c r="C193" s="30" t="s">
        <v>50</v>
      </c>
      <c r="D193" s="29" t="s">
        <v>277</v>
      </c>
      <c r="E193" s="8" t="s">
        <v>147</v>
      </c>
      <c r="F193" s="9" t="s">
        <v>43</v>
      </c>
      <c r="G193" s="10" t="s">
        <v>215</v>
      </c>
      <c r="H193" s="11" t="n">
        <v>326</v>
      </c>
      <c r="I193" s="12" t="n">
        <v>34430</v>
      </c>
      <c r="J193" s="13" t="n">
        <f aca="false">H193*I193</f>
        <v>11224180</v>
      </c>
      <c r="K193" s="14" t="s">
        <v>24</v>
      </c>
      <c r="L193" s="8" t="s">
        <v>298</v>
      </c>
      <c r="M193" s="15" t="s">
        <v>26</v>
      </c>
      <c r="N193" s="16" t="n">
        <v>10.3</v>
      </c>
      <c r="O193" s="28" t="s">
        <v>38</v>
      </c>
    </row>
    <row r="194" customFormat="false" ht="15" hidden="false" customHeight="false" outlineLevel="0" collapsed="false">
      <c r="A194" s="4" t="s">
        <v>550</v>
      </c>
      <c r="B194" s="5" t="s">
        <v>551</v>
      </c>
      <c r="C194" s="31" t="s">
        <v>85</v>
      </c>
      <c r="D194" s="19" t="s">
        <v>206</v>
      </c>
      <c r="E194" s="20" t="s">
        <v>68</v>
      </c>
      <c r="F194" s="21" t="s">
        <v>32</v>
      </c>
      <c r="G194" s="22" t="s">
        <v>100</v>
      </c>
      <c r="H194" s="23" t="n">
        <v>36808</v>
      </c>
      <c r="I194" s="24" t="n">
        <v>137</v>
      </c>
      <c r="J194" s="13" t="n">
        <f aca="false">H194*I194</f>
        <v>5042696</v>
      </c>
      <c r="K194" s="14" t="s">
        <v>24</v>
      </c>
      <c r="L194" s="20" t="s">
        <v>193</v>
      </c>
      <c r="M194" s="26" t="s">
        <v>55</v>
      </c>
      <c r="N194" s="27" t="n">
        <v>2</v>
      </c>
      <c r="O194" s="28" t="s">
        <v>274</v>
      </c>
    </row>
    <row r="195" customFormat="false" ht="15" hidden="false" customHeight="false" outlineLevel="0" collapsed="false">
      <c r="A195" s="4" t="s">
        <v>552</v>
      </c>
      <c r="B195" s="5" t="s">
        <v>553</v>
      </c>
      <c r="C195" s="30" t="s">
        <v>50</v>
      </c>
      <c r="D195" s="29" t="s">
        <v>116</v>
      </c>
      <c r="E195" s="8" t="s">
        <v>99</v>
      </c>
      <c r="F195" s="9" t="s">
        <v>22</v>
      </c>
      <c r="G195" s="10" t="s">
        <v>253</v>
      </c>
      <c r="H195" s="11" t="n">
        <v>268</v>
      </c>
      <c r="I195" s="12" t="n">
        <v>8825</v>
      </c>
      <c r="J195" s="13" t="n">
        <f aca="false">H195*I195</f>
        <v>2365100</v>
      </c>
      <c r="K195" s="14" t="s">
        <v>24</v>
      </c>
      <c r="L195" s="8" t="s">
        <v>216</v>
      </c>
      <c r="M195" s="15" t="s">
        <v>151</v>
      </c>
      <c r="N195" s="16" t="n">
        <v>12.3</v>
      </c>
      <c r="O195" s="28" t="s">
        <v>106</v>
      </c>
    </row>
    <row r="196" customFormat="false" ht="15" hidden="false" customHeight="false" outlineLevel="0" collapsed="false">
      <c r="A196" s="4" t="s">
        <v>554</v>
      </c>
      <c r="B196" s="5" t="s">
        <v>555</v>
      </c>
      <c r="C196" s="30" t="s">
        <v>50</v>
      </c>
      <c r="D196" s="19" t="s">
        <v>73</v>
      </c>
      <c r="E196" s="20" t="s">
        <v>74</v>
      </c>
      <c r="F196" s="21" t="s">
        <v>210</v>
      </c>
      <c r="G196" s="22" t="s">
        <v>371</v>
      </c>
      <c r="H196" s="23" t="n">
        <v>850</v>
      </c>
      <c r="I196" s="24" t="n">
        <v>18197</v>
      </c>
      <c r="J196" s="13" t="n">
        <f aca="false">H196*I196</f>
        <v>15467450</v>
      </c>
      <c r="K196" s="14" t="s">
        <v>24</v>
      </c>
      <c r="L196" s="20" t="s">
        <v>455</v>
      </c>
      <c r="M196" s="26" t="s">
        <v>127</v>
      </c>
      <c r="N196" s="27" t="n">
        <v>10.3</v>
      </c>
      <c r="O196" s="28" t="s">
        <v>38</v>
      </c>
    </row>
    <row r="197" customFormat="false" ht="15" hidden="false" customHeight="false" outlineLevel="0" collapsed="false">
      <c r="A197" s="4" t="s">
        <v>556</v>
      </c>
      <c r="B197" s="5" t="s">
        <v>557</v>
      </c>
      <c r="C197" s="30" t="s">
        <v>50</v>
      </c>
      <c r="D197" s="29" t="s">
        <v>51</v>
      </c>
      <c r="E197" s="8" t="s">
        <v>99</v>
      </c>
      <c r="F197" s="9" t="s">
        <v>210</v>
      </c>
      <c r="G197" s="10" t="s">
        <v>291</v>
      </c>
      <c r="H197" s="11" t="n">
        <v>233</v>
      </c>
      <c r="I197" s="12" t="n">
        <v>18626</v>
      </c>
      <c r="J197" s="13" t="n">
        <f aca="false">H197*I197</f>
        <v>4339858</v>
      </c>
      <c r="K197" s="14" t="s">
        <v>24</v>
      </c>
      <c r="L197" s="8" t="s">
        <v>76</v>
      </c>
      <c r="M197" s="15" t="s">
        <v>46</v>
      </c>
      <c r="N197" s="16" t="n">
        <v>12.3</v>
      </c>
      <c r="O197" s="17" t="s">
        <v>27</v>
      </c>
    </row>
    <row r="198" customFormat="false" ht="15" hidden="false" customHeight="false" outlineLevel="0" collapsed="false">
      <c r="A198" s="4" t="s">
        <v>558</v>
      </c>
      <c r="B198" s="5" t="s">
        <v>559</v>
      </c>
      <c r="C198" s="18" t="s">
        <v>30</v>
      </c>
      <c r="D198" s="19" t="s">
        <v>59</v>
      </c>
      <c r="E198" s="20" t="s">
        <v>60</v>
      </c>
      <c r="F198" s="21" t="s">
        <v>109</v>
      </c>
      <c r="G198" s="22" t="s">
        <v>69</v>
      </c>
      <c r="H198" s="23" t="n">
        <v>3453</v>
      </c>
      <c r="I198" s="24" t="n">
        <v>1126</v>
      </c>
      <c r="J198" s="13" t="n">
        <f aca="false">H198*I198</f>
        <v>3888078</v>
      </c>
      <c r="K198" s="14" t="s">
        <v>24</v>
      </c>
      <c r="L198" s="20" t="s">
        <v>76</v>
      </c>
      <c r="M198" s="26" t="s">
        <v>37</v>
      </c>
      <c r="N198" s="27" t="n">
        <v>6.6</v>
      </c>
      <c r="O198" s="17" t="s">
        <v>27</v>
      </c>
    </row>
    <row r="199" customFormat="false" ht="15" hidden="false" customHeight="false" outlineLevel="0" collapsed="false">
      <c r="A199" s="4" t="s">
        <v>560</v>
      </c>
      <c r="B199" s="5" t="s">
        <v>561</v>
      </c>
      <c r="C199" s="18" t="s">
        <v>30</v>
      </c>
      <c r="D199" s="29" t="s">
        <v>157</v>
      </c>
      <c r="E199" s="8" t="s">
        <v>60</v>
      </c>
      <c r="F199" s="9" t="s">
        <v>43</v>
      </c>
      <c r="G199" s="10" t="s">
        <v>80</v>
      </c>
      <c r="H199" s="11" t="n">
        <v>5220</v>
      </c>
      <c r="I199" s="12" t="n">
        <v>951</v>
      </c>
      <c r="J199" s="13" t="n">
        <f aca="false">H199*I199</f>
        <v>4964220</v>
      </c>
      <c r="K199" s="36" t="s">
        <v>35</v>
      </c>
      <c r="L199" s="8" t="s">
        <v>89</v>
      </c>
      <c r="M199" s="15" t="s">
        <v>64</v>
      </c>
      <c r="N199" s="16" t="n">
        <v>7.6</v>
      </c>
      <c r="O199" s="28" t="s">
        <v>38</v>
      </c>
    </row>
    <row r="200" customFormat="false" ht="15" hidden="false" customHeight="false" outlineLevel="0" collapsed="false">
      <c r="A200" s="4" t="s">
        <v>562</v>
      </c>
      <c r="B200" s="5" t="s">
        <v>563</v>
      </c>
      <c r="C200" s="32" t="s">
        <v>122</v>
      </c>
      <c r="D200" s="19" t="s">
        <v>140</v>
      </c>
      <c r="E200" s="20" t="s">
        <v>147</v>
      </c>
      <c r="F200" s="21" t="s">
        <v>104</v>
      </c>
      <c r="G200" s="22" t="s">
        <v>23</v>
      </c>
      <c r="H200" s="23" t="n">
        <v>10157</v>
      </c>
      <c r="I200" s="24" t="n">
        <v>460</v>
      </c>
      <c r="J200" s="13" t="n">
        <f aca="false">H200*I200</f>
        <v>4672220</v>
      </c>
      <c r="K200" s="14" t="s">
        <v>24</v>
      </c>
      <c r="L200" s="20" t="s">
        <v>143</v>
      </c>
      <c r="M200" s="26" t="s">
        <v>26</v>
      </c>
      <c r="N200" s="27" t="n">
        <v>4.4</v>
      </c>
      <c r="O200" s="28" t="s">
        <v>162</v>
      </c>
    </row>
    <row r="201" customFormat="false" ht="15" hidden="false" customHeight="false" outlineLevel="0" collapsed="false">
      <c r="A201" s="4" t="s">
        <v>564</v>
      </c>
      <c r="B201" s="5" t="s">
        <v>565</v>
      </c>
      <c r="C201" s="30" t="s">
        <v>50</v>
      </c>
      <c r="D201" s="29" t="s">
        <v>67</v>
      </c>
      <c r="E201" s="8" t="s">
        <v>74</v>
      </c>
      <c r="F201" s="9" t="s">
        <v>214</v>
      </c>
      <c r="G201" s="10" t="s">
        <v>69</v>
      </c>
      <c r="H201" s="11" t="n">
        <v>302</v>
      </c>
      <c r="I201" s="12" t="n">
        <v>2159</v>
      </c>
      <c r="J201" s="13" t="n">
        <f aca="false">H201*I201</f>
        <v>652018</v>
      </c>
      <c r="K201" s="36" t="s">
        <v>35</v>
      </c>
      <c r="L201" s="8" t="s">
        <v>25</v>
      </c>
      <c r="M201" s="15" t="s">
        <v>127</v>
      </c>
      <c r="N201" s="16" t="n">
        <v>12</v>
      </c>
      <c r="O201" s="28" t="s">
        <v>101</v>
      </c>
    </row>
    <row r="202" customFormat="false" ht="15" hidden="false" customHeight="false" outlineLevel="0" collapsed="false">
      <c r="A202" s="4" t="s">
        <v>566</v>
      </c>
      <c r="B202" s="5" t="s">
        <v>567</v>
      </c>
      <c r="C202" s="30" t="s">
        <v>50</v>
      </c>
      <c r="D202" s="19" t="s">
        <v>209</v>
      </c>
      <c r="E202" s="20" t="s">
        <v>21</v>
      </c>
      <c r="F202" s="21" t="s">
        <v>52</v>
      </c>
      <c r="G202" s="22" t="s">
        <v>297</v>
      </c>
      <c r="H202" s="23" t="n">
        <v>508</v>
      </c>
      <c r="I202" s="24" t="n">
        <v>50751</v>
      </c>
      <c r="J202" s="13" t="n">
        <f aca="false">H202*I202</f>
        <v>25781508</v>
      </c>
      <c r="K202" s="14" t="s">
        <v>24</v>
      </c>
      <c r="L202" s="20" t="s">
        <v>292</v>
      </c>
      <c r="M202" s="26" t="s">
        <v>55</v>
      </c>
      <c r="N202" s="27" t="n">
        <v>8.9</v>
      </c>
      <c r="O202" s="28" t="s">
        <v>47</v>
      </c>
    </row>
    <row r="203" customFormat="false" ht="15" hidden="false" customHeight="false" outlineLevel="0" collapsed="false">
      <c r="A203" s="4" t="s">
        <v>568</v>
      </c>
      <c r="B203" s="5" t="s">
        <v>569</v>
      </c>
      <c r="C203" s="31" t="s">
        <v>85</v>
      </c>
      <c r="D203" s="7" t="s">
        <v>146</v>
      </c>
      <c r="E203" s="8" t="s">
        <v>312</v>
      </c>
      <c r="F203" s="9" t="s">
        <v>32</v>
      </c>
      <c r="G203" s="10" t="s">
        <v>182</v>
      </c>
      <c r="H203" s="11" t="n">
        <v>28690</v>
      </c>
      <c r="I203" s="12" t="n">
        <v>602</v>
      </c>
      <c r="J203" s="13" t="n">
        <f aca="false">H203*I203</f>
        <v>17271380</v>
      </c>
      <c r="K203" s="14" t="s">
        <v>24</v>
      </c>
      <c r="L203" s="8" t="s">
        <v>193</v>
      </c>
      <c r="M203" s="15" t="s">
        <v>55</v>
      </c>
      <c r="N203" s="16" t="n">
        <v>2.4</v>
      </c>
      <c r="O203" s="28" t="s">
        <v>38</v>
      </c>
    </row>
    <row r="204" customFormat="false" ht="15" hidden="false" customHeight="false" outlineLevel="0" collapsed="false">
      <c r="A204" s="4" t="s">
        <v>570</v>
      </c>
      <c r="B204" s="5" t="s">
        <v>571</v>
      </c>
      <c r="C204" s="18" t="s">
        <v>30</v>
      </c>
      <c r="D204" s="19" t="s">
        <v>150</v>
      </c>
      <c r="E204" s="20" t="s">
        <v>32</v>
      </c>
      <c r="F204" s="21" t="s">
        <v>22</v>
      </c>
      <c r="G204" s="22" t="s">
        <v>105</v>
      </c>
      <c r="H204" s="23" t="n">
        <v>1739</v>
      </c>
      <c r="I204" s="24" t="n">
        <v>699</v>
      </c>
      <c r="J204" s="13" t="n">
        <f aca="false">H204*I204</f>
        <v>1215561</v>
      </c>
      <c r="K204" s="25" t="s">
        <v>35</v>
      </c>
      <c r="L204" s="20" t="s">
        <v>170</v>
      </c>
      <c r="M204" s="26" t="s">
        <v>46</v>
      </c>
      <c r="N204" s="27" t="n">
        <v>6</v>
      </c>
      <c r="O204" s="28" t="s">
        <v>101</v>
      </c>
    </row>
    <row r="205" customFormat="false" ht="31.5" hidden="false" customHeight="true" outlineLevel="0" collapsed="false">
      <c r="A205" s="41" t="s">
        <v>572</v>
      </c>
      <c r="B205" s="41"/>
      <c r="C205" s="41"/>
      <c r="D205" s="41"/>
      <c r="E205" s="41"/>
      <c r="F205" s="41"/>
      <c r="G205" s="41"/>
      <c r="H205" s="42" t="n">
        <f aca="false">SUM(H5:H204)</f>
        <v>2936297</v>
      </c>
      <c r="I205" s="43" t="n">
        <f aca="false">AVERAGE(I5:I204)</f>
        <v>5584.3455</v>
      </c>
      <c r="J205" s="44" t="n">
        <f aca="false">SUM(J5:J204)</f>
        <v>3399610984.1</v>
      </c>
      <c r="K205" s="41" t="s">
        <v>573</v>
      </c>
      <c r="L205" s="41"/>
      <c r="M205" s="41"/>
      <c r="N205" s="45" t="n">
        <f aca="false">AVERAGE(N5:N204)</f>
        <v>5.8845</v>
      </c>
      <c r="O205" s="41" t="s">
        <v>574</v>
      </c>
    </row>
  </sheetData>
  <mergeCells count="4">
    <mergeCell ref="A1:O1"/>
    <mergeCell ref="A2:O2"/>
    <mergeCell ref="A205:G205"/>
    <mergeCell ref="K205:M205"/>
  </mergeCells>
  <conditionalFormatting sqref="J5:J204">
    <cfRule type="dataBar" priority="2">
      <dataBar showValue="1" minLength="10" maxLength="90">
        <cfvo type="min" val="0"/>
        <cfvo type="max" val="0"/>
        <color rgb="FFC9A227"/>
      </dataBar>
      <extLst>
        <ext xmlns:x14="http://schemas.microsoft.com/office/spreadsheetml/2009/9/main" uri="{B025F937-C7B1-47D3-B67F-A62EFF666E3E}">
          <x14:id>{9F2158AC-84CD-4446-ABCA-5771D4D0A620}</x14:id>
        </ext>
      </extLst>
    </cfRule>
  </conditionalFormatting>
  <conditionalFormatting sqref="N5:N204">
    <cfRule type="colorScale" priority="3">
      <colorScale>
        <cfvo type="min" val="0"/>
        <cfvo type="percentile" val="50"/>
        <cfvo type="max" val="0"/>
        <color rgb="FFFFEBEE"/>
        <color rgb="FFFFD54F"/>
        <color rgb="FF1B5E2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2158AC-84CD-4446-ABCA-5771D4D0A620}">
            <x14:dataBar minLength="10" maxLength="90" axisPosition="none" gradient="true">
              <x14:cfvo type="min"/>
              <x14:cfvo type="max"/>
              <x14:negativeFillColor rgb="FFC9A227"/>
              <x14:axisColor rgb="FF000000"/>
            </x14:dataBar>
          </x14:cfRule>
          <xm:sqref>J5:J204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37.5" hidden="false" customHeight="true" outlineLevel="0" collapsed="false">
      <c r="A1" s="46" t="s">
        <v>575</v>
      </c>
      <c r="B1" s="46"/>
      <c r="C1" s="46"/>
      <c r="D1" s="46"/>
      <c r="E1" s="46"/>
      <c r="F1" s="46"/>
    </row>
    <row r="3" customFormat="false" ht="36" hidden="false" customHeight="true" outlineLevel="0" collapsed="false">
      <c r="A3" s="3" t="s">
        <v>4</v>
      </c>
      <c r="B3" s="3" t="s">
        <v>576</v>
      </c>
      <c r="C3" s="3" t="s">
        <v>577</v>
      </c>
      <c r="D3" s="3" t="s">
        <v>578</v>
      </c>
      <c r="E3" s="3" t="s">
        <v>579</v>
      </c>
      <c r="F3" s="3" t="s">
        <v>580</v>
      </c>
    </row>
    <row r="4" customFormat="false" ht="15" hidden="false" customHeight="false" outlineLevel="0" collapsed="false">
      <c r="A4" s="47" t="s">
        <v>30</v>
      </c>
      <c r="B4" s="48" t="n">
        <f aca="false">COUNTIF(거래내역_2026!C5:C204,"철강")</f>
        <v>70</v>
      </c>
      <c r="C4" s="49" t="n">
        <f aca="false">SUMIF(거래내역_2026!C5:C204,"철강",거래내역_2026!H5:H204)</f>
        <v>276666</v>
      </c>
      <c r="D4" s="49" t="n">
        <f aca="false">SUMIF(거래내역_2026!C5:C204,"철강",거래내역_2026!J5:J204)</f>
        <v>297645737</v>
      </c>
      <c r="E4" s="49" t="n">
        <f aca="false">AVERAGEIF(거래내역_2026!C5:C204,"철강",거래내역_2026!I5:I204)</f>
        <v>1066.75714285714</v>
      </c>
      <c r="F4" s="50" t="n">
        <f aca="false">AVERAGEIF(거래내역_2026!C5:C204,"철강",거래내역_2026!N5:N204)</f>
        <v>6.25285714285714</v>
      </c>
    </row>
    <row r="5" customFormat="false" ht="15" hidden="false" customHeight="false" outlineLevel="0" collapsed="false">
      <c r="A5" s="51" t="s">
        <v>85</v>
      </c>
      <c r="B5" s="48" t="n">
        <f aca="false">COUNTIF(거래내역_2026!C5:C204,"에너지")</f>
        <v>50</v>
      </c>
      <c r="C5" s="49" t="n">
        <f aca="false">SUMIF(거래내역_2026!C5:C204,"에너지",거래내역_2026!H5:H204)</f>
        <v>2185956</v>
      </c>
      <c r="D5" s="49" t="n">
        <f aca="false">SUMIF(거래내역_2026!C5:C204,"에너지",거래내역_2026!J5:J204)</f>
        <v>2342245443.1</v>
      </c>
      <c r="E5" s="49" t="n">
        <f aca="false">AVERAGEIF(거래내역_2026!C5:C204,"에너지",거래내역_2026!I5:I204)</f>
        <v>1112.562</v>
      </c>
      <c r="F5" s="50" t="n">
        <f aca="false">AVERAGEIF(거래내역_2026!C5:C204,"에너지",거래내역_2026!N5:N204)</f>
        <v>2.136</v>
      </c>
    </row>
    <row r="6" customFormat="false" ht="15" hidden="false" customHeight="false" outlineLevel="0" collapsed="false">
      <c r="A6" s="52" t="s">
        <v>50</v>
      </c>
      <c r="B6" s="48" t="n">
        <f aca="false">COUNTIF(거래내역_2026!C5:C204,"모빌리티")</f>
        <v>45</v>
      </c>
      <c r="C6" s="49" t="n">
        <f aca="false">SUMIF(거래내역_2026!C5:C204,"모빌리티",거래내역_2026!H5:H204)</f>
        <v>23796</v>
      </c>
      <c r="D6" s="49" t="n">
        <f aca="false">SUMIF(거래내역_2026!C5:C204,"모빌리티",거래내역_2026!J5:J204)</f>
        <v>504036563</v>
      </c>
      <c r="E6" s="49" t="n">
        <f aca="false">AVERAGEIF(거래내역_2026!C5:C204,"모빌리티",거래내역_2026!I5:I204)</f>
        <v>21355.1333333333</v>
      </c>
      <c r="F6" s="50" t="n">
        <f aca="false">AVERAGEIF(거래내역_2026!C5:C204,"모빌리티",거래내역_2026!N5:N204)</f>
        <v>10.9133333333333</v>
      </c>
    </row>
    <row r="7" customFormat="false" ht="15" hidden="false" customHeight="false" outlineLevel="0" collapsed="false">
      <c r="A7" s="53" t="s">
        <v>122</v>
      </c>
      <c r="B7" s="48" t="n">
        <f aca="false">COUNTIF(거래내역_2026!C5:C204,"식량")</f>
        <v>25</v>
      </c>
      <c r="C7" s="49" t="n">
        <f aca="false">SUMIF(거래내역_2026!C5:C204,"식량",거래내역_2026!H5:H204)</f>
        <v>390645</v>
      </c>
      <c r="D7" s="49" t="n">
        <f aca="false">SUMIF(거래내역_2026!C5:C204,"식량",거래내역_2026!J5:J204)</f>
        <v>169101976</v>
      </c>
      <c r="E7" s="49" t="n">
        <f aca="false">AVERAGEIF(거래내역_2026!C5:C204,"식량",거래내역_2026!I5:I204)</f>
        <v>443.88</v>
      </c>
      <c r="F7" s="50" t="n">
        <f aca="false">AVERAGEIF(거래내역_2026!C5:C204,"식량",거래내역_2026!N5:N204)</f>
        <v>3.908</v>
      </c>
    </row>
    <row r="8" customFormat="false" ht="15" hidden="false" customHeight="false" outlineLevel="0" collapsed="false">
      <c r="A8" s="54" t="s">
        <v>19</v>
      </c>
      <c r="B8" s="48" t="n">
        <f aca="false">COUNTIF(거래내역_2026!C5:C204,"바이오")</f>
        <v>10</v>
      </c>
      <c r="C8" s="49" t="n">
        <f aca="false">SUMIF(거래내역_2026!C5:C204,"바이오",거래내역_2026!H5:H204)</f>
        <v>59234</v>
      </c>
      <c r="D8" s="49" t="n">
        <f aca="false">SUMIF(거래내역_2026!C5:C204,"바이오",거래내역_2026!J5:J204)</f>
        <v>86581265</v>
      </c>
      <c r="E8" s="49" t="n">
        <f aca="false">AVERAGEIF(거래내역_2026!C5:C204,"바이오",거래내역_2026!I5:I204)</f>
        <v>1449</v>
      </c>
      <c r="F8" s="50" t="n">
        <f aca="false">AVERAGEIF(거래내역_2026!C5:C204,"바이오",거래내역_2026!N5:N204)</f>
        <v>4.36</v>
      </c>
    </row>
    <row r="9" customFormat="false" ht="31.5" hidden="false" customHeight="true" outlineLevel="0" collapsed="false">
      <c r="A9" s="41" t="s">
        <v>581</v>
      </c>
      <c r="B9" s="55" t="n">
        <f aca="false">SUM(B4:B8)</f>
        <v>200</v>
      </c>
      <c r="C9" s="42" t="n">
        <f aca="false">SUM(C4:C8)</f>
        <v>2936297</v>
      </c>
      <c r="D9" s="42" t="n">
        <f aca="false">SUM(D4:D8)</f>
        <v>3399610984.1</v>
      </c>
      <c r="E9" s="42" t="n">
        <f aca="false">AVERAGE(E4:E8)</f>
        <v>5085.4664952381</v>
      </c>
      <c r="F9" s="56" t="n">
        <f aca="false">AVERAGE(F4:F8)</f>
        <v>5.5140380952381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2026-05-05T10:56:11Z</dcterms:created>
  <dc:creator>openpyxl</dc:creator>
  <dc:description/>
  <dc:language>en-US</dc:language>
  <cp:lastModifiedBy/>
  <dcterms:modified xsi:type="dcterms:W3CDTF">2026-05-05T10:56:12Z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